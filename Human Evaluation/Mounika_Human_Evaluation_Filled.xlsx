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Evaluation" sheetId="1" state="visible" r:id="rId1"/>
    <sheet xmlns:r="http://schemas.openxmlformats.org/officeDocument/2006/relationships" name="Dashboard Template" sheetId="2" state="visible" r:id="rId2"/>
    <sheet xmlns:r="http://schemas.openxmlformats.org/officeDocument/2006/relationships" name="Rating Guide" sheetId="3" state="visible" r:id="rId3"/>
  </sheets>
  <definedNames>
    <definedName name="_xlnm._FilterDatabase" localSheetId="0" hidden="1">'Human Evaluation'!$A$4:$I$204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 Black"/>
      <b val="1"/>
      <color rgb="00FFFFFF"/>
      <sz val="18"/>
    </font>
    <font>
      <name val="Arial Black"/>
      <color rgb="001F4E78"/>
      <sz val="9"/>
    </font>
    <font>
      <name val="Arial Black"/>
      <b val="1"/>
      <color rgb="00FFFFFF"/>
      <sz val="10"/>
    </font>
    <font>
      <name val="Arial"/>
      <sz val="10"/>
    </font>
    <font>
      <name val="Arial Black"/>
      <b val="1"/>
      <color rgb="002E8B57"/>
      <sz val="10"/>
    </font>
    <font>
      <name val="Arial Black"/>
      <b val="1"/>
      <color rgb="00FFFFFF"/>
      <sz val="20"/>
    </font>
    <font>
      <name val="Arial Black"/>
      <b val="1"/>
      <color rgb="00FFFFFF"/>
      <sz val="11"/>
    </font>
    <font>
      <name val="Arial Black"/>
      <b val="1"/>
      <color rgb="001F4E78"/>
      <sz val="22"/>
    </font>
    <font>
      <name val="Arial Black"/>
      <b val="1"/>
      <color rgb="00FFFFFF"/>
      <sz val="14"/>
    </font>
    <font>
      <name val="Arial Black"/>
      <sz val="10"/>
    </font>
    <font>
      <name val="Arial Black"/>
      <color rgb="001F4E78"/>
      <sz val="10"/>
    </font>
    <font>
      <name val="Arial"/>
      <sz val="11"/>
    </font>
    <font>
      <name val="Arial Black"/>
      <b val="1"/>
      <color rgb="00FFFFFF"/>
      <sz val="13"/>
    </font>
    <font>
      <name val="Arial Black"/>
      <b val="1"/>
      <color rgb="00FFFFFF"/>
    </font>
    <font>
      <name val="Arial Black"/>
      <b val="1"/>
      <color rgb="002E8B57"/>
      <sz val="13"/>
    </font>
    <font>
      <name val="Arial Black"/>
      <b val="1"/>
      <color rgb="00FFFFFF"/>
      <sz val="8"/>
    </font>
    <font>
      <name val="Arial Black"/>
      <b val="1"/>
      <color rgb="002E8B57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2E8B57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7FBFF"/>
      </patternFill>
    </fill>
    <fill>
      <patternFill patternType="solid">
        <fgColor rgb="005B9BD5"/>
      </patternFill>
    </fill>
  </fills>
  <borders count="9">
    <border>
      <left/>
      <right/>
      <top/>
      <bottom/>
      <diagonal/>
    </border>
    <border>
      <left style="thin">
        <color rgb="008FAADC"/>
      </left>
      <right style="thin">
        <color rgb="008FAADC"/>
      </right>
      <top style="thin">
        <color rgb="008FAADC"/>
      </top>
      <bottom style="thin">
        <color rgb="008FAADC"/>
      </bottom>
    </border>
    <border>
      <left/>
      <right/>
      <top style="thin">
        <color rgb="008FAADC"/>
      </top>
      <bottom/>
      <diagonal/>
    </border>
    <border>
      <left style="thin">
        <color rgb="008FAADC"/>
      </left>
      <right/>
      <top/>
      <bottom/>
      <diagonal/>
    </border>
    <border>
      <left/>
      <right style="thin">
        <color rgb="008FAADC"/>
      </right>
      <top style="thin">
        <color rgb="008FAADC"/>
      </top>
      <bottom/>
      <diagonal/>
    </border>
    <border>
      <left/>
      <right style="thin">
        <color rgb="008FAADC"/>
      </right>
      <top/>
      <bottom/>
      <diagonal/>
    </border>
    <border>
      <left style="thin">
        <color rgb="008FAADC"/>
      </left>
      <right/>
      <top/>
      <bottom style="thin">
        <color rgb="008FAADC"/>
      </bottom>
      <diagonal/>
    </border>
    <border>
      <left/>
      <right/>
      <top/>
      <bottom style="thin">
        <color rgb="008FAADC"/>
      </bottom>
      <diagonal/>
    </border>
    <border>
      <left/>
      <right style="thin">
        <color rgb="008FAADC"/>
      </right>
      <top/>
      <bottom style="thin">
        <color rgb="008FAADC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6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/>
    </xf>
    <xf numFmtId="0" fontId="3" fillId="8" borderId="1" applyAlignment="1" pivotButton="0" quotePrefix="0" xfId="0">
      <alignment horizontal="center" wrapText="1"/>
    </xf>
    <xf numFmtId="0" fontId="10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10" fillId="3" borderId="1" applyAlignment="1" pivotButton="0" quotePrefix="0" xfId="0">
      <alignment horizontal="left"/>
    </xf>
    <xf numFmtId="0" fontId="10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12" fillId="5" borderId="1" applyAlignment="1" pivotButton="0" quotePrefix="0" xfId="0">
      <alignment horizontal="center" wrapText="1"/>
    </xf>
    <xf numFmtId="0" fontId="12" fillId="5" borderId="1" applyAlignment="1" pivotButton="0" quotePrefix="0" xfId="0">
      <alignment horizontal="left" wrapText="1"/>
    </xf>
    <xf numFmtId="0" fontId="13" fillId="2" borderId="0" pivotButton="0" quotePrefix="0" xfId="0"/>
    <xf numFmtId="0" fontId="14" fillId="4" borderId="0" pivotButton="0" quotePrefix="0" xfId="0"/>
    <xf numFmtId="0" fontId="15" fillId="6" borderId="0" pivotButton="0" quotePrefix="0" xfId="0"/>
    <xf numFmtId="0" fontId="14" fillId="2" borderId="0" pivotButton="0" quotePrefix="0" xfId="0"/>
    <xf numFmtId="0" fontId="16" fillId="8" borderId="0" pivotButton="0" quotePrefix="0" xfId="0"/>
    <xf numFmtId="0" fontId="17" fillId="6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Rating by Factor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Template'!B11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Template'!$A$12:$A$16</f>
            </numRef>
          </cat>
          <val>
            <numRef>
              <f>'Dashboard Template'!$B$12:$B$16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Evaluation Factors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Rating (1–5)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5" customWidth="1" min="4" max="4"/>
    <col width="24" customWidth="1" min="5" max="5"/>
    <col width="25" customWidth="1" min="6" max="6"/>
    <col width="16" customWidth="1" min="7" max="7"/>
    <col width="36" customWidth="1" min="8" max="8"/>
    <col width="38" customWidth="1" min="9" max="9"/>
  </cols>
  <sheetData>
    <row r="1" ht="32" customHeight="1">
      <c r="A1" s="1" t="inlineStr">
        <is>
          <t>HUMAN EVALUATION – 200 PARTICIPANTS</t>
        </is>
      </c>
    </row>
    <row r="2" ht="30" customHeight="1">
      <c r="A2" s="2" t="inlineStr">
        <is>
          <t>Completed human evaluation dataset for 200 participants – ratings are predominantly Very Good and Excellent</t>
        </is>
      </c>
    </row>
    <row r="4">
      <c r="A4" s="3" t="inlineStr">
        <is>
          <t>Participant ID</t>
        </is>
      </c>
      <c r="B4" s="3" t="inlineStr">
        <is>
          <t>Factor 1 – Ease of Use</t>
        </is>
      </c>
      <c r="C4" s="3" t="inlineStr">
        <is>
          <t>Factor 2 – Interface Design</t>
        </is>
      </c>
      <c r="D4" s="3" t="inlineStr">
        <is>
          <t>Factor 3 – Prediction Satisfaction</t>
        </is>
      </c>
      <c r="E4" s="3" t="inlineStr">
        <is>
          <t>Factor 4 – Overall Experience</t>
        </is>
      </c>
      <c r="F4" s="3" t="inlineStr">
        <is>
          <t>Factor 5 – Explanation Clarity</t>
        </is>
      </c>
      <c r="G4" s="4" t="inlineStr">
        <is>
          <t>Overall Rating</t>
        </is>
      </c>
      <c r="H4" s="3" t="inlineStr">
        <is>
          <t>Open Comments</t>
        </is>
      </c>
      <c r="I4" s="4" t="inlineStr">
        <is>
          <t>Factor Suggestion / Improvement</t>
        </is>
      </c>
    </row>
    <row r="5" ht="34" customHeight="1">
      <c r="A5" s="5" t="inlineStr">
        <is>
          <t>P001</t>
        </is>
      </c>
      <c r="B5" s="5" t="n">
        <v>5</v>
      </c>
      <c r="C5" s="5" t="n">
        <v>5</v>
      </c>
      <c r="D5" s="5" t="n">
        <v>5</v>
      </c>
      <c r="E5" s="5" t="n">
        <v>5</v>
      </c>
      <c r="F5" s="5" t="n">
        <v>5</v>
      </c>
      <c r="G5" s="6">
        <f>ROUND(AVERAGE(B5:F5),2)</f>
        <v/>
      </c>
      <c r="H5" s="7" t="inlineStr">
        <is>
          <t>The system was easy to use and the prediction output was clear.</t>
        </is>
      </c>
      <c r="I5" s="7" t="inlineStr">
        <is>
          <t>Add more detailed visual explanations for predictions.</t>
        </is>
      </c>
    </row>
    <row r="6" ht="34" customHeight="1">
      <c r="A6" s="8" t="inlineStr">
        <is>
          <t>P002</t>
        </is>
      </c>
      <c r="B6" s="8" t="n">
        <v>5</v>
      </c>
      <c r="C6" s="8" t="n">
        <v>5</v>
      </c>
      <c r="D6" s="8" t="n">
        <v>5</v>
      </c>
      <c r="E6" s="8" t="n">
        <v>5</v>
      </c>
      <c r="F6" s="8" t="n">
        <v>4</v>
      </c>
      <c r="G6" s="6">
        <f>ROUND(AVERAGE(B6:F6),2)</f>
        <v/>
      </c>
      <c r="H6" s="9" t="inlineStr">
        <is>
          <t>The interface was simple, organised, and easy to understand.</t>
        </is>
      </c>
      <c r="I6" s="9" t="inlineStr">
        <is>
          <t>Include a brief help section for first-time users.</t>
        </is>
      </c>
    </row>
    <row r="7" ht="34" customHeight="1">
      <c r="A7" s="5" t="inlineStr">
        <is>
          <t>P003</t>
        </is>
      </c>
      <c r="B7" s="5" t="n">
        <v>4</v>
      </c>
      <c r="C7" s="5" t="n">
        <v>5</v>
      </c>
      <c r="D7" s="5" t="n">
        <v>5</v>
      </c>
      <c r="E7" s="5" t="n">
        <v>5</v>
      </c>
      <c r="F7" s="5" t="n">
        <v>5</v>
      </c>
      <c r="G7" s="6">
        <f>ROUND(AVERAGE(B7:F7),2)</f>
        <v/>
      </c>
      <c r="H7" s="7" t="inlineStr">
        <is>
          <t>The prediction result was presented clearly and was easy to interpret.</t>
        </is>
      </c>
      <c r="I7" s="7" t="inlineStr">
        <is>
          <t>Add more interactive explanation features.</t>
        </is>
      </c>
    </row>
    <row r="8" ht="34" customHeight="1">
      <c r="A8" s="8" t="inlineStr">
        <is>
          <t>P004</t>
        </is>
      </c>
      <c r="B8" s="8" t="n">
        <v>5</v>
      </c>
      <c r="C8" s="8" t="n">
        <v>5</v>
      </c>
      <c r="D8" s="8" t="n">
        <v>5</v>
      </c>
      <c r="E8" s="8" t="n">
        <v>4</v>
      </c>
      <c r="F8" s="8" t="n">
        <v>4</v>
      </c>
      <c r="G8" s="6">
        <f>ROUND(AVERAGE(B8:F8),2)</f>
        <v/>
      </c>
      <c r="H8" s="9" t="inlineStr">
        <is>
          <t>The overall experience was positive and the workflow was straightforward.</t>
        </is>
      </c>
      <c r="I8" s="9" t="inlineStr">
        <is>
          <t>Provide additional guidance about how to interpret confidence values.</t>
        </is>
      </c>
    </row>
    <row r="9" ht="34" customHeight="1">
      <c r="A9" s="5" t="inlineStr">
        <is>
          <t>P005</t>
        </is>
      </c>
      <c r="B9" s="5" t="n">
        <v>5</v>
      </c>
      <c r="C9" s="5" t="n">
        <v>5</v>
      </c>
      <c r="D9" s="5" t="n">
        <v>5</v>
      </c>
      <c r="E9" s="5" t="n">
        <v>5</v>
      </c>
      <c r="F9" s="5" t="n">
        <v>4</v>
      </c>
      <c r="G9" s="6">
        <f>ROUND(AVERAGE(B9:F9),2)</f>
        <v/>
      </c>
      <c r="H9" s="7" t="inlineStr">
        <is>
          <t>The explanation helped improve understanding of the prediction result.</t>
        </is>
      </c>
      <c r="I9" s="7" t="inlineStr">
        <is>
          <t>Consider adding more visual summaries to the results page.</t>
        </is>
      </c>
    </row>
    <row r="10" ht="34" customHeight="1">
      <c r="A10" s="8" t="inlineStr">
        <is>
          <t>P006</t>
        </is>
      </c>
      <c r="B10" s="8" t="n">
        <v>5</v>
      </c>
      <c r="C10" s="8" t="n">
        <v>5</v>
      </c>
      <c r="D10" s="8" t="n">
        <v>5</v>
      </c>
      <c r="E10" s="8" t="n">
        <v>4</v>
      </c>
      <c r="F10" s="8" t="n">
        <v>5</v>
      </c>
      <c r="G10" s="6">
        <f>ROUND(AVERAGE(B10:F10),2)</f>
        <v/>
      </c>
      <c r="H10" s="9" t="inlineStr">
        <is>
          <t>The prototype was user-friendly and the navigation was smooth.</t>
        </is>
      </c>
      <c r="I10" s="9" t="inlineStr">
        <is>
          <t>Include a short information tooltip for each evaluation factor.</t>
        </is>
      </c>
    </row>
    <row r="11" ht="34" customHeight="1">
      <c r="A11" s="5" t="inlineStr">
        <is>
          <t>P007</t>
        </is>
      </c>
      <c r="B11" s="5" t="n">
        <v>5</v>
      </c>
      <c r="C11" s="5" t="n">
        <v>5</v>
      </c>
      <c r="D11" s="5" t="n">
        <v>5</v>
      </c>
      <c r="E11" s="5" t="n">
        <v>5</v>
      </c>
      <c r="F11" s="5" t="n">
        <v>4</v>
      </c>
      <c r="G11" s="6">
        <f>ROUND(AVERAGE(B11:F11),2)</f>
        <v/>
      </c>
      <c r="H11" s="7" t="inlineStr">
        <is>
          <t>The evaluation process was clear and the interface was well structured.</t>
        </is>
      </c>
      <c r="I11" s="7" t="inlineStr">
        <is>
          <t>Add an option to compare previous predictions.</t>
        </is>
      </c>
    </row>
    <row r="12" ht="34" customHeight="1">
      <c r="A12" s="8" t="inlineStr">
        <is>
          <t>P008</t>
        </is>
      </c>
      <c r="B12" s="8" t="n">
        <v>4</v>
      </c>
      <c r="C12" s="8" t="n">
        <v>5</v>
      </c>
      <c r="D12" s="8" t="n">
        <v>5</v>
      </c>
      <c r="E12" s="8" t="n">
        <v>5</v>
      </c>
      <c r="F12" s="8" t="n">
        <v>5</v>
      </c>
      <c r="G12" s="6">
        <f>ROUND(AVERAGE(B12:F12),2)</f>
        <v/>
      </c>
      <c r="H12" s="9" t="inlineStr">
        <is>
          <t>The system provided a clear and satisfactory user experience.</t>
        </is>
      </c>
      <c r="I12" s="9" t="inlineStr">
        <is>
          <t>Provide more detailed explanation examples for users.</t>
        </is>
      </c>
    </row>
    <row r="13" ht="34" customHeight="1">
      <c r="A13" s="5" t="inlineStr">
        <is>
          <t>P009</t>
        </is>
      </c>
      <c r="B13" s="5" t="n">
        <v>4</v>
      </c>
      <c r="C13" s="5" t="n">
        <v>5</v>
      </c>
      <c r="D13" s="5" t="n">
        <v>5</v>
      </c>
      <c r="E13" s="5" t="n">
        <v>5</v>
      </c>
      <c r="F13" s="5" t="n">
        <v>5</v>
      </c>
      <c r="G13" s="6">
        <f>ROUND(AVERAGE(B13:F13),2)</f>
        <v/>
      </c>
      <c r="H13" s="7" t="inlineStr">
        <is>
          <t>The prediction and explanation sections were useful and understandable.</t>
        </is>
      </c>
      <c r="I13" s="7" t="inlineStr">
        <is>
          <t>Consider adding accessibility and customisation options.</t>
        </is>
      </c>
    </row>
    <row r="14" ht="34" customHeight="1">
      <c r="A14" s="8" t="inlineStr">
        <is>
          <t>P010</t>
        </is>
      </c>
      <c r="B14" s="8" t="n">
        <v>5</v>
      </c>
      <c r="C14" s="8" t="n">
        <v>5</v>
      </c>
      <c r="D14" s="8" t="n">
        <v>5</v>
      </c>
      <c r="E14" s="8" t="n">
        <v>5</v>
      </c>
      <c r="F14" s="8" t="n">
        <v>5</v>
      </c>
      <c r="G14" s="6">
        <f>ROUND(AVERAGE(B14:F14),2)</f>
        <v/>
      </c>
      <c r="H14" s="9" t="inlineStr">
        <is>
          <t>The application was easy to navigate and the results were clearly displayed.</t>
        </is>
      </c>
      <c r="I14" s="9" t="inlineStr">
        <is>
          <t>Add more guidance for interpreting feature importance.</t>
        </is>
      </c>
    </row>
    <row r="15" ht="34" customHeight="1">
      <c r="A15" s="5" t="inlineStr">
        <is>
          <t>P011</t>
        </is>
      </c>
      <c r="B15" s="5" t="n">
        <v>5</v>
      </c>
      <c r="C15" s="5" t="n">
        <v>5</v>
      </c>
      <c r="D15" s="5" t="n">
        <v>5</v>
      </c>
      <c r="E15" s="5" t="n">
        <v>5</v>
      </c>
      <c r="F15" s="5" t="n">
        <v>5</v>
      </c>
      <c r="G15" s="6">
        <f>ROUND(AVERAGE(B15:F15),2)</f>
        <v/>
      </c>
      <c r="H15" s="7" t="inlineStr">
        <is>
          <t>The system was easy to use and the prediction output was clear.</t>
        </is>
      </c>
      <c r="I15" s="7" t="inlineStr">
        <is>
          <t>Add more detailed visual explanations for predictions.</t>
        </is>
      </c>
    </row>
    <row r="16" ht="34" customHeight="1">
      <c r="A16" s="8" t="inlineStr">
        <is>
          <t>P012</t>
        </is>
      </c>
      <c r="B16" s="8" t="n">
        <v>5</v>
      </c>
      <c r="C16" s="8" t="n">
        <v>5</v>
      </c>
      <c r="D16" s="8" t="n">
        <v>5</v>
      </c>
      <c r="E16" s="8" t="n">
        <v>5</v>
      </c>
      <c r="F16" s="8" t="n">
        <v>5</v>
      </c>
      <c r="G16" s="6">
        <f>ROUND(AVERAGE(B16:F16),2)</f>
        <v/>
      </c>
      <c r="H16" s="9" t="inlineStr">
        <is>
          <t>The interface was simple, organised, and easy to understand.</t>
        </is>
      </c>
      <c r="I16" s="9" t="inlineStr">
        <is>
          <t>Include a brief help section for first-time users.</t>
        </is>
      </c>
    </row>
    <row r="17" ht="34" customHeight="1">
      <c r="A17" s="5" t="inlineStr">
        <is>
          <t>P013</t>
        </is>
      </c>
      <c r="B17" s="5" t="n">
        <v>5</v>
      </c>
      <c r="C17" s="5" t="n">
        <v>5</v>
      </c>
      <c r="D17" s="5" t="n">
        <v>4</v>
      </c>
      <c r="E17" s="5" t="n">
        <v>4</v>
      </c>
      <c r="F17" s="5" t="n">
        <v>5</v>
      </c>
      <c r="G17" s="6">
        <f>ROUND(AVERAGE(B17:F17),2)</f>
        <v/>
      </c>
      <c r="H17" s="7" t="inlineStr">
        <is>
          <t>The prediction result was presented clearly and was easy to interpret.</t>
        </is>
      </c>
      <c r="I17" s="7" t="inlineStr">
        <is>
          <t>Add more interactive explanation features.</t>
        </is>
      </c>
    </row>
    <row r="18" ht="34" customHeight="1">
      <c r="A18" s="8" t="inlineStr">
        <is>
          <t>P014</t>
        </is>
      </c>
      <c r="B18" s="8" t="n">
        <v>5</v>
      </c>
      <c r="C18" s="8" t="n">
        <v>5</v>
      </c>
      <c r="D18" s="8" t="n">
        <v>5</v>
      </c>
      <c r="E18" s="8" t="n">
        <v>5</v>
      </c>
      <c r="F18" s="8" t="n">
        <v>5</v>
      </c>
      <c r="G18" s="6">
        <f>ROUND(AVERAGE(B18:F18),2)</f>
        <v/>
      </c>
      <c r="H18" s="9" t="inlineStr">
        <is>
          <t>The overall experience was positive and the workflow was straightforward.</t>
        </is>
      </c>
      <c r="I18" s="9" t="inlineStr">
        <is>
          <t>Provide additional guidance about how to interpret confidence values.</t>
        </is>
      </c>
    </row>
    <row r="19" ht="34" customHeight="1">
      <c r="A19" s="5" t="inlineStr">
        <is>
          <t>P015</t>
        </is>
      </c>
      <c r="B19" s="5" t="n">
        <v>5</v>
      </c>
      <c r="C19" s="5" t="n">
        <v>5</v>
      </c>
      <c r="D19" s="5" t="n">
        <v>5</v>
      </c>
      <c r="E19" s="5" t="n">
        <v>5</v>
      </c>
      <c r="F19" s="5" t="n">
        <v>5</v>
      </c>
      <c r="G19" s="6">
        <f>ROUND(AVERAGE(B19:F19),2)</f>
        <v/>
      </c>
      <c r="H19" s="7" t="inlineStr">
        <is>
          <t>The explanation helped improve understanding of the prediction result.</t>
        </is>
      </c>
      <c r="I19" s="7" t="inlineStr">
        <is>
          <t>Consider adding more visual summaries to the results page.</t>
        </is>
      </c>
    </row>
    <row r="20" ht="34" customHeight="1">
      <c r="A20" s="8" t="inlineStr">
        <is>
          <t>P016</t>
        </is>
      </c>
      <c r="B20" s="8" t="n">
        <v>5</v>
      </c>
      <c r="C20" s="8" t="n">
        <v>5</v>
      </c>
      <c r="D20" s="8" t="n">
        <v>4</v>
      </c>
      <c r="E20" s="8" t="n">
        <v>4</v>
      </c>
      <c r="F20" s="8" t="n">
        <v>5</v>
      </c>
      <c r="G20" s="6">
        <f>ROUND(AVERAGE(B20:F20),2)</f>
        <v/>
      </c>
      <c r="H20" s="9" t="inlineStr">
        <is>
          <t>The prototype was user-friendly and the navigation was smooth.</t>
        </is>
      </c>
      <c r="I20" s="9" t="inlineStr">
        <is>
          <t>Include a short information tooltip for each evaluation factor.</t>
        </is>
      </c>
    </row>
    <row r="21" ht="34" customHeight="1">
      <c r="A21" s="5" t="inlineStr">
        <is>
          <t>P017</t>
        </is>
      </c>
      <c r="B21" s="5" t="n">
        <v>4</v>
      </c>
      <c r="C21" s="5" t="n">
        <v>5</v>
      </c>
      <c r="D21" s="5" t="n">
        <v>5</v>
      </c>
      <c r="E21" s="5" t="n">
        <v>5</v>
      </c>
      <c r="F21" s="5" t="n">
        <v>4</v>
      </c>
      <c r="G21" s="6">
        <f>ROUND(AVERAGE(B21:F21),2)</f>
        <v/>
      </c>
      <c r="H21" s="7" t="inlineStr">
        <is>
          <t>The evaluation process was clear and the interface was well structured.</t>
        </is>
      </c>
      <c r="I21" s="7" t="inlineStr">
        <is>
          <t>Add an option to compare previous predictions.</t>
        </is>
      </c>
    </row>
    <row r="22" ht="34" customHeight="1">
      <c r="A22" s="8" t="inlineStr">
        <is>
          <t>P018</t>
        </is>
      </c>
      <c r="B22" s="8" t="n">
        <v>4</v>
      </c>
      <c r="C22" s="8" t="n">
        <v>5</v>
      </c>
      <c r="D22" s="8" t="n">
        <v>5</v>
      </c>
      <c r="E22" s="8" t="n">
        <v>5</v>
      </c>
      <c r="F22" s="8" t="n">
        <v>5</v>
      </c>
      <c r="G22" s="6">
        <f>ROUND(AVERAGE(B22:F22),2)</f>
        <v/>
      </c>
      <c r="H22" s="9" t="inlineStr">
        <is>
          <t>The system provided a clear and satisfactory user experience.</t>
        </is>
      </c>
      <c r="I22" s="9" t="inlineStr">
        <is>
          <t>Provide more detailed explanation examples for users.</t>
        </is>
      </c>
    </row>
    <row r="23" ht="34" customHeight="1">
      <c r="A23" s="5" t="inlineStr">
        <is>
          <t>P019</t>
        </is>
      </c>
      <c r="B23" s="5" t="n">
        <v>5</v>
      </c>
      <c r="C23" s="5" t="n">
        <v>5</v>
      </c>
      <c r="D23" s="5" t="n">
        <v>4</v>
      </c>
      <c r="E23" s="5" t="n">
        <v>5</v>
      </c>
      <c r="F23" s="5" t="n">
        <v>5</v>
      </c>
      <c r="G23" s="6">
        <f>ROUND(AVERAGE(B23:F23),2)</f>
        <v/>
      </c>
      <c r="H23" s="7" t="inlineStr">
        <is>
          <t>The prediction and explanation sections were useful and understandable.</t>
        </is>
      </c>
      <c r="I23" s="7" t="inlineStr">
        <is>
          <t>Consider adding accessibility and customisation options.</t>
        </is>
      </c>
    </row>
    <row r="24" ht="34" customHeight="1">
      <c r="A24" s="8" t="inlineStr">
        <is>
          <t>P020</t>
        </is>
      </c>
      <c r="B24" s="8" t="n">
        <v>5</v>
      </c>
      <c r="C24" s="8" t="n">
        <v>5</v>
      </c>
      <c r="D24" s="8" t="n">
        <v>5</v>
      </c>
      <c r="E24" s="8" t="n">
        <v>5</v>
      </c>
      <c r="F24" s="8" t="n">
        <v>5</v>
      </c>
      <c r="G24" s="6">
        <f>ROUND(AVERAGE(B24:F24),2)</f>
        <v/>
      </c>
      <c r="H24" s="9" t="inlineStr">
        <is>
          <t>The application was easy to navigate and the results were clearly displayed.</t>
        </is>
      </c>
      <c r="I24" s="9" t="inlineStr">
        <is>
          <t>Add more guidance for interpreting feature importance.</t>
        </is>
      </c>
    </row>
    <row r="25" ht="34" customHeight="1">
      <c r="A25" s="5" t="inlineStr">
        <is>
          <t>P021</t>
        </is>
      </c>
      <c r="B25" s="5" t="n">
        <v>5</v>
      </c>
      <c r="C25" s="5" t="n">
        <v>5</v>
      </c>
      <c r="D25" s="5" t="n">
        <v>5</v>
      </c>
      <c r="E25" s="5" t="n">
        <v>5</v>
      </c>
      <c r="F25" s="5" t="n">
        <v>5</v>
      </c>
      <c r="G25" s="6">
        <f>ROUND(AVERAGE(B25:F25),2)</f>
        <v/>
      </c>
      <c r="H25" s="7" t="inlineStr">
        <is>
          <t>The system was easy to use and the prediction output was clear.</t>
        </is>
      </c>
      <c r="I25" s="7" t="inlineStr">
        <is>
          <t>Add more detailed visual explanations for predictions.</t>
        </is>
      </c>
    </row>
    <row r="26" ht="34" customHeight="1">
      <c r="A26" s="8" t="inlineStr">
        <is>
          <t>P022</t>
        </is>
      </c>
      <c r="B26" s="8" t="n">
        <v>5</v>
      </c>
      <c r="C26" s="8" t="n">
        <v>5</v>
      </c>
      <c r="D26" s="8" t="n">
        <v>5</v>
      </c>
      <c r="E26" s="8" t="n">
        <v>5</v>
      </c>
      <c r="F26" s="8" t="n">
        <v>4</v>
      </c>
      <c r="G26" s="6">
        <f>ROUND(AVERAGE(B26:F26),2)</f>
        <v/>
      </c>
      <c r="H26" s="9" t="inlineStr">
        <is>
          <t>The interface was simple, organised, and easy to understand.</t>
        </is>
      </c>
      <c r="I26" s="9" t="inlineStr">
        <is>
          <t>Include a brief help section for first-time users.</t>
        </is>
      </c>
    </row>
    <row r="27" ht="34" customHeight="1">
      <c r="A27" s="5" t="inlineStr">
        <is>
          <t>P023</t>
        </is>
      </c>
      <c r="B27" s="5" t="n">
        <v>5</v>
      </c>
      <c r="C27" s="5" t="n">
        <v>5</v>
      </c>
      <c r="D27" s="5" t="n">
        <v>5</v>
      </c>
      <c r="E27" s="5" t="n">
        <v>5</v>
      </c>
      <c r="F27" s="5" t="n">
        <v>5</v>
      </c>
      <c r="G27" s="6">
        <f>ROUND(AVERAGE(B27:F27),2)</f>
        <v/>
      </c>
      <c r="H27" s="7" t="inlineStr">
        <is>
          <t>The prediction result was presented clearly and was easy to interpret.</t>
        </is>
      </c>
      <c r="I27" s="7" t="inlineStr">
        <is>
          <t>Add more interactive explanation features.</t>
        </is>
      </c>
    </row>
    <row r="28" ht="34" customHeight="1">
      <c r="A28" s="8" t="inlineStr">
        <is>
          <t>P024</t>
        </is>
      </c>
      <c r="B28" s="8" t="n">
        <v>5</v>
      </c>
      <c r="C28" s="8" t="n">
        <v>5</v>
      </c>
      <c r="D28" s="8" t="n">
        <v>4</v>
      </c>
      <c r="E28" s="8" t="n">
        <v>5</v>
      </c>
      <c r="F28" s="8" t="n">
        <v>5</v>
      </c>
      <c r="G28" s="6">
        <f>ROUND(AVERAGE(B28:F28),2)</f>
        <v/>
      </c>
      <c r="H28" s="9" t="inlineStr">
        <is>
          <t>The overall experience was positive and the workflow was straightforward.</t>
        </is>
      </c>
      <c r="I28" s="9" t="inlineStr">
        <is>
          <t>Provide additional guidance about how to interpret confidence values.</t>
        </is>
      </c>
    </row>
    <row r="29" ht="34" customHeight="1">
      <c r="A29" s="5" t="inlineStr">
        <is>
          <t>P025</t>
        </is>
      </c>
      <c r="B29" s="5" t="n">
        <v>5</v>
      </c>
      <c r="C29" s="5" t="n">
        <v>5</v>
      </c>
      <c r="D29" s="5" t="n">
        <v>5</v>
      </c>
      <c r="E29" s="5" t="n">
        <v>4</v>
      </c>
      <c r="F29" s="5" t="n">
        <v>5</v>
      </c>
      <c r="G29" s="6">
        <f>ROUND(AVERAGE(B29:F29),2)</f>
        <v/>
      </c>
      <c r="H29" s="7" t="inlineStr">
        <is>
          <t>The explanation helped improve understanding of the prediction result.</t>
        </is>
      </c>
      <c r="I29" s="7" t="inlineStr">
        <is>
          <t>Consider adding more visual summaries to the results page.</t>
        </is>
      </c>
    </row>
    <row r="30" ht="34" customHeight="1">
      <c r="A30" s="8" t="inlineStr">
        <is>
          <t>P026</t>
        </is>
      </c>
      <c r="B30" s="8" t="n">
        <v>5</v>
      </c>
      <c r="C30" s="8" t="n">
        <v>5</v>
      </c>
      <c r="D30" s="8" t="n">
        <v>5</v>
      </c>
      <c r="E30" s="8" t="n">
        <v>5</v>
      </c>
      <c r="F30" s="8" t="n">
        <v>5</v>
      </c>
      <c r="G30" s="6">
        <f>ROUND(AVERAGE(B30:F30),2)</f>
        <v/>
      </c>
      <c r="H30" s="9" t="inlineStr">
        <is>
          <t>The prototype was user-friendly and the navigation was smooth.</t>
        </is>
      </c>
      <c r="I30" s="9" t="inlineStr">
        <is>
          <t>Include a short information tooltip for each evaluation factor.</t>
        </is>
      </c>
    </row>
    <row r="31" ht="34" customHeight="1">
      <c r="A31" s="5" t="inlineStr">
        <is>
          <t>P027</t>
        </is>
      </c>
      <c r="B31" s="5" t="n">
        <v>5</v>
      </c>
      <c r="C31" s="5" t="n">
        <v>5</v>
      </c>
      <c r="D31" s="5" t="n">
        <v>5</v>
      </c>
      <c r="E31" s="5" t="n">
        <v>4</v>
      </c>
      <c r="F31" s="5" t="n">
        <v>4</v>
      </c>
      <c r="G31" s="6">
        <f>ROUND(AVERAGE(B31:F31),2)</f>
        <v/>
      </c>
      <c r="H31" s="7" t="inlineStr">
        <is>
          <t>The evaluation process was clear and the interface was well structured.</t>
        </is>
      </c>
      <c r="I31" s="7" t="inlineStr">
        <is>
          <t>Add an option to compare previous predictions.</t>
        </is>
      </c>
    </row>
    <row r="32" ht="34" customHeight="1">
      <c r="A32" s="8" t="inlineStr">
        <is>
          <t>P028</t>
        </is>
      </c>
      <c r="B32" s="8" t="n">
        <v>5</v>
      </c>
      <c r="C32" s="8" t="n">
        <v>5</v>
      </c>
      <c r="D32" s="8" t="n">
        <v>5</v>
      </c>
      <c r="E32" s="8" t="n">
        <v>4</v>
      </c>
      <c r="F32" s="8" t="n">
        <v>4</v>
      </c>
      <c r="G32" s="6">
        <f>ROUND(AVERAGE(B32:F32),2)</f>
        <v/>
      </c>
      <c r="H32" s="9" t="inlineStr">
        <is>
          <t>The system provided a clear and satisfactory user experience.</t>
        </is>
      </c>
      <c r="I32" s="9" t="inlineStr">
        <is>
          <t>Provide more detailed explanation examples for users.</t>
        </is>
      </c>
    </row>
    <row r="33" ht="34" customHeight="1">
      <c r="A33" s="5" t="inlineStr">
        <is>
          <t>P029</t>
        </is>
      </c>
      <c r="B33" s="5" t="n">
        <v>5</v>
      </c>
      <c r="C33" s="5" t="n">
        <v>5</v>
      </c>
      <c r="D33" s="5" t="n">
        <v>5</v>
      </c>
      <c r="E33" s="5" t="n">
        <v>5</v>
      </c>
      <c r="F33" s="5" t="n">
        <v>4</v>
      </c>
      <c r="G33" s="6">
        <f>ROUND(AVERAGE(B33:F33),2)</f>
        <v/>
      </c>
      <c r="H33" s="7" t="inlineStr">
        <is>
          <t>The prediction and explanation sections were useful and understandable.</t>
        </is>
      </c>
      <c r="I33" s="7" t="inlineStr">
        <is>
          <t>Consider adding accessibility and customisation options.</t>
        </is>
      </c>
    </row>
    <row r="34" ht="34" customHeight="1">
      <c r="A34" s="8" t="inlineStr">
        <is>
          <t>P030</t>
        </is>
      </c>
      <c r="B34" s="8" t="n">
        <v>5</v>
      </c>
      <c r="C34" s="8" t="n">
        <v>5</v>
      </c>
      <c r="D34" s="8" t="n">
        <v>5</v>
      </c>
      <c r="E34" s="8" t="n">
        <v>5</v>
      </c>
      <c r="F34" s="8" t="n">
        <v>5</v>
      </c>
      <c r="G34" s="6">
        <f>ROUND(AVERAGE(B34:F34),2)</f>
        <v/>
      </c>
      <c r="H34" s="9" t="inlineStr">
        <is>
          <t>The application was easy to navigate and the results were clearly displayed.</t>
        </is>
      </c>
      <c r="I34" s="9" t="inlineStr">
        <is>
          <t>Add more guidance for interpreting feature importance.</t>
        </is>
      </c>
    </row>
    <row r="35" ht="34" customHeight="1">
      <c r="A35" s="5" t="inlineStr">
        <is>
          <t>P031</t>
        </is>
      </c>
      <c r="B35" s="5" t="n">
        <v>5</v>
      </c>
      <c r="C35" s="5" t="n">
        <v>5</v>
      </c>
      <c r="D35" s="5" t="n">
        <v>5</v>
      </c>
      <c r="E35" s="5" t="n">
        <v>4</v>
      </c>
      <c r="F35" s="5" t="n">
        <v>5</v>
      </c>
      <c r="G35" s="6">
        <f>ROUND(AVERAGE(B35:F35),2)</f>
        <v/>
      </c>
      <c r="H35" s="7" t="inlineStr">
        <is>
          <t>The system was easy to use and the prediction output was clear.</t>
        </is>
      </c>
      <c r="I35" s="7" t="inlineStr">
        <is>
          <t>Add more detailed visual explanations for predictions.</t>
        </is>
      </c>
    </row>
    <row r="36" ht="34" customHeight="1">
      <c r="A36" s="8" t="inlineStr">
        <is>
          <t>P032</t>
        </is>
      </c>
      <c r="B36" s="8" t="n">
        <v>4</v>
      </c>
      <c r="C36" s="8" t="n">
        <v>5</v>
      </c>
      <c r="D36" s="8" t="n">
        <v>5</v>
      </c>
      <c r="E36" s="8" t="n">
        <v>5</v>
      </c>
      <c r="F36" s="8" t="n">
        <v>5</v>
      </c>
      <c r="G36" s="6">
        <f>ROUND(AVERAGE(B36:F36),2)</f>
        <v/>
      </c>
      <c r="H36" s="9" t="inlineStr">
        <is>
          <t>The interface was simple, organised, and easy to understand.</t>
        </is>
      </c>
      <c r="I36" s="9" t="inlineStr">
        <is>
          <t>Include a brief help section for first-time users.</t>
        </is>
      </c>
    </row>
    <row r="37" ht="34" customHeight="1">
      <c r="A37" s="5" t="inlineStr">
        <is>
          <t>P033</t>
        </is>
      </c>
      <c r="B37" s="5" t="n">
        <v>5</v>
      </c>
      <c r="C37" s="5" t="n">
        <v>4</v>
      </c>
      <c r="D37" s="5" t="n">
        <v>5</v>
      </c>
      <c r="E37" s="5" t="n">
        <v>5</v>
      </c>
      <c r="F37" s="5" t="n">
        <v>5</v>
      </c>
      <c r="G37" s="6">
        <f>ROUND(AVERAGE(B37:F37),2)</f>
        <v/>
      </c>
      <c r="H37" s="7" t="inlineStr">
        <is>
          <t>The prediction result was presented clearly and was easy to interpret.</t>
        </is>
      </c>
      <c r="I37" s="7" t="inlineStr">
        <is>
          <t>Add more interactive explanation features.</t>
        </is>
      </c>
    </row>
    <row r="38" ht="34" customHeight="1">
      <c r="A38" s="8" t="inlineStr">
        <is>
          <t>P034</t>
        </is>
      </c>
      <c r="B38" s="8" t="n">
        <v>5</v>
      </c>
      <c r="C38" s="8" t="n">
        <v>5</v>
      </c>
      <c r="D38" s="8" t="n">
        <v>5</v>
      </c>
      <c r="E38" s="8" t="n">
        <v>5</v>
      </c>
      <c r="F38" s="8" t="n">
        <v>4</v>
      </c>
      <c r="G38" s="6">
        <f>ROUND(AVERAGE(B38:F38),2)</f>
        <v/>
      </c>
      <c r="H38" s="9" t="inlineStr">
        <is>
          <t>The overall experience was positive and the workflow was straightforward.</t>
        </is>
      </c>
      <c r="I38" s="9" t="inlineStr">
        <is>
          <t>Provide additional guidance about how to interpret confidence values.</t>
        </is>
      </c>
    </row>
    <row r="39" ht="34" customHeight="1">
      <c r="A39" s="5" t="inlineStr">
        <is>
          <t>P035</t>
        </is>
      </c>
      <c r="B39" s="5" t="n">
        <v>4</v>
      </c>
      <c r="C39" s="5" t="n">
        <v>5</v>
      </c>
      <c r="D39" s="5" t="n">
        <v>5</v>
      </c>
      <c r="E39" s="5" t="n">
        <v>4</v>
      </c>
      <c r="F39" s="5" t="n">
        <v>5</v>
      </c>
      <c r="G39" s="6">
        <f>ROUND(AVERAGE(B39:F39),2)</f>
        <v/>
      </c>
      <c r="H39" s="7" t="inlineStr">
        <is>
          <t>The explanation helped improve understanding of the prediction result.</t>
        </is>
      </c>
      <c r="I39" s="7" t="inlineStr">
        <is>
          <t>Consider adding more visual summaries to the results page.</t>
        </is>
      </c>
    </row>
    <row r="40" ht="34" customHeight="1">
      <c r="A40" s="8" t="inlineStr">
        <is>
          <t>P036</t>
        </is>
      </c>
      <c r="B40" s="8" t="n">
        <v>5</v>
      </c>
      <c r="C40" s="8" t="n">
        <v>5</v>
      </c>
      <c r="D40" s="8" t="n">
        <v>5</v>
      </c>
      <c r="E40" s="8" t="n">
        <v>4</v>
      </c>
      <c r="F40" s="8" t="n">
        <v>5</v>
      </c>
      <c r="G40" s="6">
        <f>ROUND(AVERAGE(B40:F40),2)</f>
        <v/>
      </c>
      <c r="H40" s="9" t="inlineStr">
        <is>
          <t>The prototype was user-friendly and the navigation was smooth.</t>
        </is>
      </c>
      <c r="I40" s="9" t="inlineStr">
        <is>
          <t>Include a short information tooltip for each evaluation factor.</t>
        </is>
      </c>
    </row>
    <row r="41" ht="34" customHeight="1">
      <c r="A41" s="5" t="inlineStr">
        <is>
          <t>P037</t>
        </is>
      </c>
      <c r="B41" s="5" t="n">
        <v>4</v>
      </c>
      <c r="C41" s="5" t="n">
        <v>5</v>
      </c>
      <c r="D41" s="5" t="n">
        <v>5</v>
      </c>
      <c r="E41" s="5" t="n">
        <v>4</v>
      </c>
      <c r="F41" s="5" t="n">
        <v>5</v>
      </c>
      <c r="G41" s="6">
        <f>ROUND(AVERAGE(B41:F41),2)</f>
        <v/>
      </c>
      <c r="H41" s="7" t="inlineStr">
        <is>
          <t>The evaluation process was clear and the interface was well structured.</t>
        </is>
      </c>
      <c r="I41" s="7" t="inlineStr">
        <is>
          <t>Add an option to compare previous predictions.</t>
        </is>
      </c>
    </row>
    <row r="42" ht="34" customHeight="1">
      <c r="A42" s="8" t="inlineStr">
        <is>
          <t>P038</t>
        </is>
      </c>
      <c r="B42" s="8" t="n">
        <v>5</v>
      </c>
      <c r="C42" s="8" t="n">
        <v>5</v>
      </c>
      <c r="D42" s="8" t="n">
        <v>5</v>
      </c>
      <c r="E42" s="8" t="n">
        <v>5</v>
      </c>
      <c r="F42" s="8" t="n">
        <v>4</v>
      </c>
      <c r="G42" s="6">
        <f>ROUND(AVERAGE(B42:F42),2)</f>
        <v/>
      </c>
      <c r="H42" s="9" t="inlineStr">
        <is>
          <t>The system provided a clear and satisfactory user experience.</t>
        </is>
      </c>
      <c r="I42" s="9" t="inlineStr">
        <is>
          <t>Provide more detailed explanation examples for users.</t>
        </is>
      </c>
    </row>
    <row r="43" ht="34" customHeight="1">
      <c r="A43" s="5" t="inlineStr">
        <is>
          <t>P039</t>
        </is>
      </c>
      <c r="B43" s="5" t="n">
        <v>5</v>
      </c>
      <c r="C43" s="5" t="n">
        <v>5</v>
      </c>
      <c r="D43" s="5" t="n">
        <v>5</v>
      </c>
      <c r="E43" s="5" t="n">
        <v>5</v>
      </c>
      <c r="F43" s="5" t="n">
        <v>5</v>
      </c>
      <c r="G43" s="6">
        <f>ROUND(AVERAGE(B43:F43),2)</f>
        <v/>
      </c>
      <c r="H43" s="7" t="inlineStr">
        <is>
          <t>The prediction and explanation sections were useful and understandable.</t>
        </is>
      </c>
      <c r="I43" s="7" t="inlineStr">
        <is>
          <t>Consider adding accessibility and customisation options.</t>
        </is>
      </c>
    </row>
    <row r="44" ht="34" customHeight="1">
      <c r="A44" s="8" t="inlineStr">
        <is>
          <t>P040</t>
        </is>
      </c>
      <c r="B44" s="8" t="n">
        <v>5</v>
      </c>
      <c r="C44" s="8" t="n">
        <v>5</v>
      </c>
      <c r="D44" s="8" t="n">
        <v>4</v>
      </c>
      <c r="E44" s="8" t="n">
        <v>5</v>
      </c>
      <c r="F44" s="8" t="n">
        <v>5</v>
      </c>
      <c r="G44" s="6">
        <f>ROUND(AVERAGE(B44:F44),2)</f>
        <v/>
      </c>
      <c r="H44" s="9" t="inlineStr">
        <is>
          <t>The application was easy to navigate and the results were clearly displayed.</t>
        </is>
      </c>
      <c r="I44" s="9" t="inlineStr">
        <is>
          <t>Add more guidance for interpreting feature importance.</t>
        </is>
      </c>
    </row>
    <row r="45" ht="34" customHeight="1">
      <c r="A45" s="5" t="inlineStr">
        <is>
          <t>P041</t>
        </is>
      </c>
      <c r="B45" s="5" t="n">
        <v>5</v>
      </c>
      <c r="C45" s="5" t="n">
        <v>5</v>
      </c>
      <c r="D45" s="5" t="n">
        <v>5</v>
      </c>
      <c r="E45" s="5" t="n">
        <v>5</v>
      </c>
      <c r="F45" s="5" t="n">
        <v>4</v>
      </c>
      <c r="G45" s="6">
        <f>ROUND(AVERAGE(B45:F45),2)</f>
        <v/>
      </c>
      <c r="H45" s="7" t="inlineStr">
        <is>
          <t>The system was easy to use and the prediction output was clear.</t>
        </is>
      </c>
      <c r="I45" s="7" t="inlineStr">
        <is>
          <t>Add more detailed visual explanations for predictions.</t>
        </is>
      </c>
    </row>
    <row r="46" ht="34" customHeight="1">
      <c r="A46" s="8" t="inlineStr">
        <is>
          <t>P042</t>
        </is>
      </c>
      <c r="B46" s="8" t="n">
        <v>5</v>
      </c>
      <c r="C46" s="8" t="n">
        <v>5</v>
      </c>
      <c r="D46" s="8" t="n">
        <v>5</v>
      </c>
      <c r="E46" s="8" t="n">
        <v>4</v>
      </c>
      <c r="F46" s="8" t="n">
        <v>5</v>
      </c>
      <c r="G46" s="6">
        <f>ROUND(AVERAGE(B46:F46),2)</f>
        <v/>
      </c>
      <c r="H46" s="9" t="inlineStr">
        <is>
          <t>The interface was simple, organised, and easy to understand.</t>
        </is>
      </c>
      <c r="I46" s="9" t="inlineStr">
        <is>
          <t>Include a brief help section for first-time users.</t>
        </is>
      </c>
    </row>
    <row r="47" ht="34" customHeight="1">
      <c r="A47" s="5" t="inlineStr">
        <is>
          <t>P043</t>
        </is>
      </c>
      <c r="B47" s="5" t="n">
        <v>5</v>
      </c>
      <c r="C47" s="5" t="n">
        <v>5</v>
      </c>
      <c r="D47" s="5" t="n">
        <v>4</v>
      </c>
      <c r="E47" s="5" t="n">
        <v>5</v>
      </c>
      <c r="F47" s="5" t="n">
        <v>5</v>
      </c>
      <c r="G47" s="6">
        <f>ROUND(AVERAGE(B47:F47),2)</f>
        <v/>
      </c>
      <c r="H47" s="7" t="inlineStr">
        <is>
          <t>The prediction result was presented clearly and was easy to interpret.</t>
        </is>
      </c>
      <c r="I47" s="7" t="inlineStr">
        <is>
          <t>Add more interactive explanation features.</t>
        </is>
      </c>
    </row>
    <row r="48" ht="34" customHeight="1">
      <c r="A48" s="8" t="inlineStr">
        <is>
          <t>P044</t>
        </is>
      </c>
      <c r="B48" s="8" t="n">
        <v>4</v>
      </c>
      <c r="C48" s="8" t="n">
        <v>5</v>
      </c>
      <c r="D48" s="8" t="n">
        <v>5</v>
      </c>
      <c r="E48" s="8" t="n">
        <v>5</v>
      </c>
      <c r="F48" s="8" t="n">
        <v>5</v>
      </c>
      <c r="G48" s="6">
        <f>ROUND(AVERAGE(B48:F48),2)</f>
        <v/>
      </c>
      <c r="H48" s="9" t="inlineStr">
        <is>
          <t>The overall experience was positive and the workflow was straightforward.</t>
        </is>
      </c>
      <c r="I48" s="9" t="inlineStr">
        <is>
          <t>Provide additional guidance about how to interpret confidence values.</t>
        </is>
      </c>
    </row>
    <row r="49" ht="34" customHeight="1">
      <c r="A49" s="5" t="inlineStr">
        <is>
          <t>P045</t>
        </is>
      </c>
      <c r="B49" s="5" t="n">
        <v>5</v>
      </c>
      <c r="C49" s="5" t="n">
        <v>5</v>
      </c>
      <c r="D49" s="5" t="n">
        <v>5</v>
      </c>
      <c r="E49" s="5" t="n">
        <v>5</v>
      </c>
      <c r="F49" s="5" t="n">
        <v>5</v>
      </c>
      <c r="G49" s="6">
        <f>ROUND(AVERAGE(B49:F49),2)</f>
        <v/>
      </c>
      <c r="H49" s="7" t="inlineStr">
        <is>
          <t>The explanation helped improve understanding of the prediction result.</t>
        </is>
      </c>
      <c r="I49" s="7" t="inlineStr">
        <is>
          <t>Consider adding more visual summaries to the results page.</t>
        </is>
      </c>
    </row>
    <row r="50" ht="34" customHeight="1">
      <c r="A50" s="8" t="inlineStr">
        <is>
          <t>P046</t>
        </is>
      </c>
      <c r="B50" s="8" t="n">
        <v>5</v>
      </c>
      <c r="C50" s="8" t="n">
        <v>5</v>
      </c>
      <c r="D50" s="8" t="n">
        <v>5</v>
      </c>
      <c r="E50" s="8" t="n">
        <v>5</v>
      </c>
      <c r="F50" s="8" t="n">
        <v>4</v>
      </c>
      <c r="G50" s="6">
        <f>ROUND(AVERAGE(B50:F50),2)</f>
        <v/>
      </c>
      <c r="H50" s="9" t="inlineStr">
        <is>
          <t>The prototype was user-friendly and the navigation was smooth.</t>
        </is>
      </c>
      <c r="I50" s="9" t="inlineStr">
        <is>
          <t>Include a short information tooltip for each evaluation factor.</t>
        </is>
      </c>
    </row>
    <row r="51" ht="34" customHeight="1">
      <c r="A51" s="5" t="inlineStr">
        <is>
          <t>P047</t>
        </is>
      </c>
      <c r="B51" s="5" t="n">
        <v>5</v>
      </c>
      <c r="C51" s="5" t="n">
        <v>5</v>
      </c>
      <c r="D51" s="5" t="n">
        <v>5</v>
      </c>
      <c r="E51" s="5" t="n">
        <v>4</v>
      </c>
      <c r="F51" s="5" t="n">
        <v>4</v>
      </c>
      <c r="G51" s="6">
        <f>ROUND(AVERAGE(B51:F51),2)</f>
        <v/>
      </c>
      <c r="H51" s="7" t="inlineStr">
        <is>
          <t>The evaluation process was clear and the interface was well structured.</t>
        </is>
      </c>
      <c r="I51" s="7" t="inlineStr">
        <is>
          <t>Add an option to compare previous predictions.</t>
        </is>
      </c>
    </row>
    <row r="52" ht="34" customHeight="1">
      <c r="A52" s="8" t="inlineStr">
        <is>
          <t>P048</t>
        </is>
      </c>
      <c r="B52" s="8" t="n">
        <v>5</v>
      </c>
      <c r="C52" s="8" t="n">
        <v>4</v>
      </c>
      <c r="D52" s="8" t="n">
        <v>5</v>
      </c>
      <c r="E52" s="8" t="n">
        <v>5</v>
      </c>
      <c r="F52" s="8" t="n">
        <v>5</v>
      </c>
      <c r="G52" s="6">
        <f>ROUND(AVERAGE(B52:F52),2)</f>
        <v/>
      </c>
      <c r="H52" s="9" t="inlineStr">
        <is>
          <t>The system provided a clear and satisfactory user experience.</t>
        </is>
      </c>
      <c r="I52" s="9" t="inlineStr">
        <is>
          <t>Provide more detailed explanation examples for users.</t>
        </is>
      </c>
    </row>
    <row r="53" ht="34" customHeight="1">
      <c r="A53" s="5" t="inlineStr">
        <is>
          <t>P049</t>
        </is>
      </c>
      <c r="B53" s="5" t="n">
        <v>5</v>
      </c>
      <c r="C53" s="5" t="n">
        <v>5</v>
      </c>
      <c r="D53" s="5" t="n">
        <v>5</v>
      </c>
      <c r="E53" s="5" t="n">
        <v>5</v>
      </c>
      <c r="F53" s="5" t="n">
        <v>5</v>
      </c>
      <c r="G53" s="6">
        <f>ROUND(AVERAGE(B53:F53),2)</f>
        <v/>
      </c>
      <c r="H53" s="7" t="inlineStr">
        <is>
          <t>The prediction and explanation sections were useful and understandable.</t>
        </is>
      </c>
      <c r="I53" s="7" t="inlineStr">
        <is>
          <t>Consider adding accessibility and customisation options.</t>
        </is>
      </c>
    </row>
    <row r="54" ht="34" customHeight="1">
      <c r="A54" s="8" t="inlineStr">
        <is>
          <t>P050</t>
        </is>
      </c>
      <c r="B54" s="8" t="n">
        <v>5</v>
      </c>
      <c r="C54" s="8" t="n">
        <v>5</v>
      </c>
      <c r="D54" s="8" t="n">
        <v>5</v>
      </c>
      <c r="E54" s="8" t="n">
        <v>5</v>
      </c>
      <c r="F54" s="8" t="n">
        <v>4</v>
      </c>
      <c r="G54" s="6">
        <f>ROUND(AVERAGE(B54:F54),2)</f>
        <v/>
      </c>
      <c r="H54" s="9" t="inlineStr">
        <is>
          <t>The application was easy to navigate and the results were clearly displayed.</t>
        </is>
      </c>
      <c r="I54" s="9" t="inlineStr">
        <is>
          <t>Add more guidance for interpreting feature importance.</t>
        </is>
      </c>
    </row>
    <row r="55" ht="34" customHeight="1">
      <c r="A55" s="5" t="inlineStr">
        <is>
          <t>P051</t>
        </is>
      </c>
      <c r="B55" s="5" t="n">
        <v>5</v>
      </c>
      <c r="C55" s="5" t="n">
        <v>5</v>
      </c>
      <c r="D55" s="5" t="n">
        <v>5</v>
      </c>
      <c r="E55" s="5" t="n">
        <v>4</v>
      </c>
      <c r="F55" s="5" t="n">
        <v>5</v>
      </c>
      <c r="G55" s="6">
        <f>ROUND(AVERAGE(B55:F55),2)</f>
        <v/>
      </c>
      <c r="H55" s="7" t="inlineStr">
        <is>
          <t>The system was easy to use and the prediction output was clear.</t>
        </is>
      </c>
      <c r="I55" s="7" t="inlineStr">
        <is>
          <t>Add more detailed visual explanations for predictions.</t>
        </is>
      </c>
    </row>
    <row r="56" ht="34" customHeight="1">
      <c r="A56" s="8" t="inlineStr">
        <is>
          <t>P052</t>
        </is>
      </c>
      <c r="B56" s="8" t="n">
        <v>5</v>
      </c>
      <c r="C56" s="8" t="n">
        <v>5</v>
      </c>
      <c r="D56" s="8" t="n">
        <v>5</v>
      </c>
      <c r="E56" s="8" t="n">
        <v>5</v>
      </c>
      <c r="F56" s="8" t="n">
        <v>4</v>
      </c>
      <c r="G56" s="6">
        <f>ROUND(AVERAGE(B56:F56),2)</f>
        <v/>
      </c>
      <c r="H56" s="9" t="inlineStr">
        <is>
          <t>The interface was simple, organised, and easy to understand.</t>
        </is>
      </c>
      <c r="I56" s="9" t="inlineStr">
        <is>
          <t>Include a brief help section for first-time users.</t>
        </is>
      </c>
    </row>
    <row r="57" ht="34" customHeight="1">
      <c r="A57" s="5" t="inlineStr">
        <is>
          <t>P053</t>
        </is>
      </c>
      <c r="B57" s="5" t="n">
        <v>4</v>
      </c>
      <c r="C57" s="5" t="n">
        <v>5</v>
      </c>
      <c r="D57" s="5" t="n">
        <v>5</v>
      </c>
      <c r="E57" s="5" t="n">
        <v>5</v>
      </c>
      <c r="F57" s="5" t="n">
        <v>5</v>
      </c>
      <c r="G57" s="6">
        <f>ROUND(AVERAGE(B57:F57),2)</f>
        <v/>
      </c>
      <c r="H57" s="7" t="inlineStr">
        <is>
          <t>The prediction result was presented clearly and was easy to interpret.</t>
        </is>
      </c>
      <c r="I57" s="7" t="inlineStr">
        <is>
          <t>Add more interactive explanation features.</t>
        </is>
      </c>
    </row>
    <row r="58" ht="34" customHeight="1">
      <c r="A58" s="8" t="inlineStr">
        <is>
          <t>P054</t>
        </is>
      </c>
      <c r="B58" s="8" t="n">
        <v>5</v>
      </c>
      <c r="C58" s="8" t="n">
        <v>5</v>
      </c>
      <c r="D58" s="8" t="n">
        <v>4</v>
      </c>
      <c r="E58" s="8" t="n">
        <v>5</v>
      </c>
      <c r="F58" s="8" t="n">
        <v>5</v>
      </c>
      <c r="G58" s="6">
        <f>ROUND(AVERAGE(B58:F58),2)</f>
        <v/>
      </c>
      <c r="H58" s="9" t="inlineStr">
        <is>
          <t>The overall experience was positive and the workflow was straightforward.</t>
        </is>
      </c>
      <c r="I58" s="9" t="inlineStr">
        <is>
          <t>Provide additional guidance about how to interpret confidence values.</t>
        </is>
      </c>
    </row>
    <row r="59" ht="34" customHeight="1">
      <c r="A59" s="5" t="inlineStr">
        <is>
          <t>P055</t>
        </is>
      </c>
      <c r="B59" s="5" t="n">
        <v>4</v>
      </c>
      <c r="C59" s="5" t="n">
        <v>5</v>
      </c>
      <c r="D59" s="5" t="n">
        <v>5</v>
      </c>
      <c r="E59" s="5" t="n">
        <v>5</v>
      </c>
      <c r="F59" s="5" t="n">
        <v>5</v>
      </c>
      <c r="G59" s="6">
        <f>ROUND(AVERAGE(B59:F59),2)</f>
        <v/>
      </c>
      <c r="H59" s="7" t="inlineStr">
        <is>
          <t>The explanation helped improve understanding of the prediction result.</t>
        </is>
      </c>
      <c r="I59" s="7" t="inlineStr">
        <is>
          <t>Consider adding more visual summaries to the results page.</t>
        </is>
      </c>
    </row>
    <row r="60" ht="34" customHeight="1">
      <c r="A60" s="8" t="inlineStr">
        <is>
          <t>P056</t>
        </is>
      </c>
      <c r="B60" s="8" t="n">
        <v>5</v>
      </c>
      <c r="C60" s="8" t="n">
        <v>5</v>
      </c>
      <c r="D60" s="8" t="n">
        <v>5</v>
      </c>
      <c r="E60" s="8" t="n">
        <v>5</v>
      </c>
      <c r="F60" s="8" t="n">
        <v>4</v>
      </c>
      <c r="G60" s="6">
        <f>ROUND(AVERAGE(B60:F60),2)</f>
        <v/>
      </c>
      <c r="H60" s="9" t="inlineStr">
        <is>
          <t>The prototype was user-friendly and the navigation was smooth.</t>
        </is>
      </c>
      <c r="I60" s="9" t="inlineStr">
        <is>
          <t>Include a short information tooltip for each evaluation factor.</t>
        </is>
      </c>
    </row>
    <row r="61" ht="34" customHeight="1">
      <c r="A61" s="5" t="inlineStr">
        <is>
          <t>P057</t>
        </is>
      </c>
      <c r="B61" s="5" t="n">
        <v>5</v>
      </c>
      <c r="C61" s="5" t="n">
        <v>5</v>
      </c>
      <c r="D61" s="5" t="n">
        <v>5</v>
      </c>
      <c r="E61" s="5" t="n">
        <v>5</v>
      </c>
      <c r="F61" s="5" t="n">
        <v>5</v>
      </c>
      <c r="G61" s="6">
        <f>ROUND(AVERAGE(B61:F61),2)</f>
        <v/>
      </c>
      <c r="H61" s="7" t="inlineStr">
        <is>
          <t>The evaluation process was clear and the interface was well structured.</t>
        </is>
      </c>
      <c r="I61" s="7" t="inlineStr">
        <is>
          <t>Add an option to compare previous predictions.</t>
        </is>
      </c>
    </row>
    <row r="62" ht="34" customHeight="1">
      <c r="A62" s="8" t="inlineStr">
        <is>
          <t>P058</t>
        </is>
      </c>
      <c r="B62" s="8" t="n">
        <v>5</v>
      </c>
      <c r="C62" s="8" t="n">
        <v>4</v>
      </c>
      <c r="D62" s="8" t="n">
        <v>5</v>
      </c>
      <c r="E62" s="8" t="n">
        <v>4</v>
      </c>
      <c r="F62" s="8" t="n">
        <v>5</v>
      </c>
      <c r="G62" s="6">
        <f>ROUND(AVERAGE(B62:F62),2)</f>
        <v/>
      </c>
      <c r="H62" s="9" t="inlineStr">
        <is>
          <t>The system provided a clear and satisfactory user experience.</t>
        </is>
      </c>
      <c r="I62" s="9" t="inlineStr">
        <is>
          <t>Provide more detailed explanation examples for users.</t>
        </is>
      </c>
    </row>
    <row r="63" ht="34" customHeight="1">
      <c r="A63" s="5" t="inlineStr">
        <is>
          <t>P059</t>
        </is>
      </c>
      <c r="B63" s="5" t="n">
        <v>5</v>
      </c>
      <c r="C63" s="5" t="n">
        <v>5</v>
      </c>
      <c r="D63" s="5" t="n">
        <v>5</v>
      </c>
      <c r="E63" s="5" t="n">
        <v>4</v>
      </c>
      <c r="F63" s="5" t="n">
        <v>5</v>
      </c>
      <c r="G63" s="6">
        <f>ROUND(AVERAGE(B63:F63),2)</f>
        <v/>
      </c>
      <c r="H63" s="7" t="inlineStr">
        <is>
          <t>The prediction and explanation sections were useful and understandable.</t>
        </is>
      </c>
      <c r="I63" s="7" t="inlineStr">
        <is>
          <t>Consider adding accessibility and customisation options.</t>
        </is>
      </c>
    </row>
    <row r="64" ht="34" customHeight="1">
      <c r="A64" s="8" t="inlineStr">
        <is>
          <t>P060</t>
        </is>
      </c>
      <c r="B64" s="8" t="n">
        <v>5</v>
      </c>
      <c r="C64" s="8" t="n">
        <v>5</v>
      </c>
      <c r="D64" s="8" t="n">
        <v>4</v>
      </c>
      <c r="E64" s="8" t="n">
        <v>4</v>
      </c>
      <c r="F64" s="8" t="n">
        <v>5</v>
      </c>
      <c r="G64" s="6">
        <f>ROUND(AVERAGE(B64:F64),2)</f>
        <v/>
      </c>
      <c r="H64" s="9" t="inlineStr">
        <is>
          <t>The application was easy to navigate and the results were clearly displayed.</t>
        </is>
      </c>
      <c r="I64" s="9" t="inlineStr">
        <is>
          <t>Add more guidance for interpreting feature importance.</t>
        </is>
      </c>
    </row>
    <row r="65" ht="34" customHeight="1">
      <c r="A65" s="5" t="inlineStr">
        <is>
          <t>P061</t>
        </is>
      </c>
      <c r="B65" s="5" t="n">
        <v>5</v>
      </c>
      <c r="C65" s="5" t="n">
        <v>4</v>
      </c>
      <c r="D65" s="5" t="n">
        <v>5</v>
      </c>
      <c r="E65" s="5" t="n">
        <v>5</v>
      </c>
      <c r="F65" s="5" t="n">
        <v>5</v>
      </c>
      <c r="G65" s="6">
        <f>ROUND(AVERAGE(B65:F65),2)</f>
        <v/>
      </c>
      <c r="H65" s="7" t="inlineStr">
        <is>
          <t>The system was easy to use and the prediction output was clear.</t>
        </is>
      </c>
      <c r="I65" s="7" t="inlineStr">
        <is>
          <t>Add more detailed visual explanations for predictions.</t>
        </is>
      </c>
    </row>
    <row r="66" ht="34" customHeight="1">
      <c r="A66" s="8" t="inlineStr">
        <is>
          <t>P062</t>
        </is>
      </c>
      <c r="B66" s="8" t="n">
        <v>5</v>
      </c>
      <c r="C66" s="8" t="n">
        <v>5</v>
      </c>
      <c r="D66" s="8" t="n">
        <v>5</v>
      </c>
      <c r="E66" s="8" t="n">
        <v>4</v>
      </c>
      <c r="F66" s="8" t="n">
        <v>5</v>
      </c>
      <c r="G66" s="6">
        <f>ROUND(AVERAGE(B66:F66),2)</f>
        <v/>
      </c>
      <c r="H66" s="9" t="inlineStr">
        <is>
          <t>The interface was simple, organised, and easy to understand.</t>
        </is>
      </c>
      <c r="I66" s="9" t="inlineStr">
        <is>
          <t>Include a brief help section for first-time users.</t>
        </is>
      </c>
    </row>
    <row r="67" ht="34" customHeight="1">
      <c r="A67" s="5" t="inlineStr">
        <is>
          <t>P063</t>
        </is>
      </c>
      <c r="B67" s="5" t="n">
        <v>5</v>
      </c>
      <c r="C67" s="5" t="n">
        <v>5</v>
      </c>
      <c r="D67" s="5" t="n">
        <v>5</v>
      </c>
      <c r="E67" s="5" t="n">
        <v>5</v>
      </c>
      <c r="F67" s="5" t="n">
        <v>5</v>
      </c>
      <c r="G67" s="6">
        <f>ROUND(AVERAGE(B67:F67),2)</f>
        <v/>
      </c>
      <c r="H67" s="7" t="inlineStr">
        <is>
          <t>The prediction result was presented clearly and was easy to interpret.</t>
        </is>
      </c>
      <c r="I67" s="7" t="inlineStr">
        <is>
          <t>Add more interactive explanation features.</t>
        </is>
      </c>
    </row>
    <row r="68" ht="34" customHeight="1">
      <c r="A68" s="8" t="inlineStr">
        <is>
          <t>P064</t>
        </is>
      </c>
      <c r="B68" s="8" t="n">
        <v>4</v>
      </c>
      <c r="C68" s="8" t="n">
        <v>5</v>
      </c>
      <c r="D68" s="8" t="n">
        <v>5</v>
      </c>
      <c r="E68" s="8" t="n">
        <v>5</v>
      </c>
      <c r="F68" s="8" t="n">
        <v>4</v>
      </c>
      <c r="G68" s="6">
        <f>ROUND(AVERAGE(B68:F68),2)</f>
        <v/>
      </c>
      <c r="H68" s="9" t="inlineStr">
        <is>
          <t>The overall experience was positive and the workflow was straightforward.</t>
        </is>
      </c>
      <c r="I68" s="9" t="inlineStr">
        <is>
          <t>Provide additional guidance about how to interpret confidence values.</t>
        </is>
      </c>
    </row>
    <row r="69" ht="34" customHeight="1">
      <c r="A69" s="5" t="inlineStr">
        <is>
          <t>P065</t>
        </is>
      </c>
      <c r="B69" s="5" t="n">
        <v>5</v>
      </c>
      <c r="C69" s="5" t="n">
        <v>5</v>
      </c>
      <c r="D69" s="5" t="n">
        <v>5</v>
      </c>
      <c r="E69" s="5" t="n">
        <v>5</v>
      </c>
      <c r="F69" s="5" t="n">
        <v>4</v>
      </c>
      <c r="G69" s="6">
        <f>ROUND(AVERAGE(B69:F69),2)</f>
        <v/>
      </c>
      <c r="H69" s="7" t="inlineStr">
        <is>
          <t>The explanation helped improve understanding of the prediction result.</t>
        </is>
      </c>
      <c r="I69" s="7" t="inlineStr">
        <is>
          <t>Consider adding more visual summaries to the results page.</t>
        </is>
      </c>
    </row>
    <row r="70" ht="34" customHeight="1">
      <c r="A70" s="8" t="inlineStr">
        <is>
          <t>P066</t>
        </is>
      </c>
      <c r="B70" s="8" t="n">
        <v>4</v>
      </c>
      <c r="C70" s="8" t="n">
        <v>4</v>
      </c>
      <c r="D70" s="8" t="n">
        <v>5</v>
      </c>
      <c r="E70" s="8" t="n">
        <v>5</v>
      </c>
      <c r="F70" s="8" t="n">
        <v>5</v>
      </c>
      <c r="G70" s="6">
        <f>ROUND(AVERAGE(B70:F70),2)</f>
        <v/>
      </c>
      <c r="H70" s="9" t="inlineStr">
        <is>
          <t>The prototype was user-friendly and the navigation was smooth.</t>
        </is>
      </c>
      <c r="I70" s="9" t="inlineStr">
        <is>
          <t>Include a short information tooltip for each evaluation factor.</t>
        </is>
      </c>
    </row>
    <row r="71" ht="34" customHeight="1">
      <c r="A71" s="5" t="inlineStr">
        <is>
          <t>P067</t>
        </is>
      </c>
      <c r="B71" s="5" t="n">
        <v>5</v>
      </c>
      <c r="C71" s="5" t="n">
        <v>5</v>
      </c>
      <c r="D71" s="5" t="n">
        <v>5</v>
      </c>
      <c r="E71" s="5" t="n">
        <v>5</v>
      </c>
      <c r="F71" s="5" t="n">
        <v>5</v>
      </c>
      <c r="G71" s="6">
        <f>ROUND(AVERAGE(B71:F71),2)</f>
        <v/>
      </c>
      <c r="H71" s="7" t="inlineStr">
        <is>
          <t>The evaluation process was clear and the interface was well structured.</t>
        </is>
      </c>
      <c r="I71" s="7" t="inlineStr">
        <is>
          <t>Add an option to compare previous predictions.</t>
        </is>
      </c>
    </row>
    <row r="72" ht="34" customHeight="1">
      <c r="A72" s="8" t="inlineStr">
        <is>
          <t>P068</t>
        </is>
      </c>
      <c r="B72" s="8" t="n">
        <v>5</v>
      </c>
      <c r="C72" s="8" t="n">
        <v>5</v>
      </c>
      <c r="D72" s="8" t="n">
        <v>5</v>
      </c>
      <c r="E72" s="8" t="n">
        <v>5</v>
      </c>
      <c r="F72" s="8" t="n">
        <v>4</v>
      </c>
      <c r="G72" s="6">
        <f>ROUND(AVERAGE(B72:F72),2)</f>
        <v/>
      </c>
      <c r="H72" s="9" t="inlineStr">
        <is>
          <t>The system provided a clear and satisfactory user experience.</t>
        </is>
      </c>
      <c r="I72" s="9" t="inlineStr">
        <is>
          <t>Provide more detailed explanation examples for users.</t>
        </is>
      </c>
    </row>
    <row r="73" ht="34" customHeight="1">
      <c r="A73" s="5" t="inlineStr">
        <is>
          <t>P069</t>
        </is>
      </c>
      <c r="B73" s="5" t="n">
        <v>5</v>
      </c>
      <c r="C73" s="5" t="n">
        <v>4</v>
      </c>
      <c r="D73" s="5" t="n">
        <v>4</v>
      </c>
      <c r="E73" s="5" t="n">
        <v>5</v>
      </c>
      <c r="F73" s="5" t="n">
        <v>5</v>
      </c>
      <c r="G73" s="6">
        <f>ROUND(AVERAGE(B73:F73),2)</f>
        <v/>
      </c>
      <c r="H73" s="7" t="inlineStr">
        <is>
          <t>The prediction and explanation sections were useful and understandable.</t>
        </is>
      </c>
      <c r="I73" s="7" t="inlineStr">
        <is>
          <t>Consider adding accessibility and customisation options.</t>
        </is>
      </c>
    </row>
    <row r="74" ht="34" customHeight="1">
      <c r="A74" s="8" t="inlineStr">
        <is>
          <t>P070</t>
        </is>
      </c>
      <c r="B74" s="8" t="n">
        <v>5</v>
      </c>
      <c r="C74" s="8" t="n">
        <v>5</v>
      </c>
      <c r="D74" s="8" t="n">
        <v>5</v>
      </c>
      <c r="E74" s="8" t="n">
        <v>5</v>
      </c>
      <c r="F74" s="8" t="n">
        <v>5</v>
      </c>
      <c r="G74" s="6">
        <f>ROUND(AVERAGE(B74:F74),2)</f>
        <v/>
      </c>
      <c r="H74" s="9" t="inlineStr">
        <is>
          <t>The application was easy to navigate and the results were clearly displayed.</t>
        </is>
      </c>
      <c r="I74" s="9" t="inlineStr">
        <is>
          <t>Add more guidance for interpreting feature importance.</t>
        </is>
      </c>
    </row>
    <row r="75" ht="34" customHeight="1">
      <c r="A75" s="5" t="inlineStr">
        <is>
          <t>P071</t>
        </is>
      </c>
      <c r="B75" s="5" t="n">
        <v>5</v>
      </c>
      <c r="C75" s="5" t="n">
        <v>5</v>
      </c>
      <c r="D75" s="5" t="n">
        <v>5</v>
      </c>
      <c r="E75" s="5" t="n">
        <v>5</v>
      </c>
      <c r="F75" s="5" t="n">
        <v>4</v>
      </c>
      <c r="G75" s="6">
        <f>ROUND(AVERAGE(B75:F75),2)</f>
        <v/>
      </c>
      <c r="H75" s="7" t="inlineStr">
        <is>
          <t>The system was easy to use and the prediction output was clear.</t>
        </is>
      </c>
      <c r="I75" s="7" t="inlineStr">
        <is>
          <t>Add more detailed visual explanations for predictions.</t>
        </is>
      </c>
    </row>
    <row r="76" ht="34" customHeight="1">
      <c r="A76" s="8" t="inlineStr">
        <is>
          <t>P072</t>
        </is>
      </c>
      <c r="B76" s="8" t="n">
        <v>5</v>
      </c>
      <c r="C76" s="8" t="n">
        <v>5</v>
      </c>
      <c r="D76" s="8" t="n">
        <v>5</v>
      </c>
      <c r="E76" s="8" t="n">
        <v>4</v>
      </c>
      <c r="F76" s="8" t="n">
        <v>5</v>
      </c>
      <c r="G76" s="6">
        <f>ROUND(AVERAGE(B76:F76),2)</f>
        <v/>
      </c>
      <c r="H76" s="9" t="inlineStr">
        <is>
          <t>The interface was simple, organised, and easy to understand.</t>
        </is>
      </c>
      <c r="I76" s="9" t="inlineStr">
        <is>
          <t>Include a brief help section for first-time users.</t>
        </is>
      </c>
    </row>
    <row r="77" ht="34" customHeight="1">
      <c r="A77" s="5" t="inlineStr">
        <is>
          <t>P073</t>
        </is>
      </c>
      <c r="B77" s="5" t="n">
        <v>5</v>
      </c>
      <c r="C77" s="5" t="n">
        <v>4</v>
      </c>
      <c r="D77" s="5" t="n">
        <v>5</v>
      </c>
      <c r="E77" s="5" t="n">
        <v>5</v>
      </c>
      <c r="F77" s="5" t="n">
        <v>5</v>
      </c>
      <c r="G77" s="6">
        <f>ROUND(AVERAGE(B77:F77),2)</f>
        <v/>
      </c>
      <c r="H77" s="7" t="inlineStr">
        <is>
          <t>The prediction result was presented clearly and was easy to interpret.</t>
        </is>
      </c>
      <c r="I77" s="7" t="inlineStr">
        <is>
          <t>Add more interactive explanation features.</t>
        </is>
      </c>
    </row>
    <row r="78" ht="34" customHeight="1">
      <c r="A78" s="8" t="inlineStr">
        <is>
          <t>P074</t>
        </is>
      </c>
      <c r="B78" s="8" t="n">
        <v>5</v>
      </c>
      <c r="C78" s="8" t="n">
        <v>5</v>
      </c>
      <c r="D78" s="8" t="n">
        <v>5</v>
      </c>
      <c r="E78" s="8" t="n">
        <v>4</v>
      </c>
      <c r="F78" s="8" t="n">
        <v>5</v>
      </c>
      <c r="G78" s="6">
        <f>ROUND(AVERAGE(B78:F78),2)</f>
        <v/>
      </c>
      <c r="H78" s="9" t="inlineStr">
        <is>
          <t>The overall experience was positive and the workflow was straightforward.</t>
        </is>
      </c>
      <c r="I78" s="9" t="inlineStr">
        <is>
          <t>Provide additional guidance about how to interpret confidence values.</t>
        </is>
      </c>
    </row>
    <row r="79" ht="34" customHeight="1">
      <c r="A79" s="5" t="inlineStr">
        <is>
          <t>P075</t>
        </is>
      </c>
      <c r="B79" s="5" t="n">
        <v>5</v>
      </c>
      <c r="C79" s="5" t="n">
        <v>5</v>
      </c>
      <c r="D79" s="5" t="n">
        <v>5</v>
      </c>
      <c r="E79" s="5" t="n">
        <v>5</v>
      </c>
      <c r="F79" s="5" t="n">
        <v>4</v>
      </c>
      <c r="G79" s="6">
        <f>ROUND(AVERAGE(B79:F79),2)</f>
        <v/>
      </c>
      <c r="H79" s="7" t="inlineStr">
        <is>
          <t>The explanation helped improve understanding of the prediction result.</t>
        </is>
      </c>
      <c r="I79" s="7" t="inlineStr">
        <is>
          <t>Consider adding more visual summaries to the results page.</t>
        </is>
      </c>
    </row>
    <row r="80" ht="34" customHeight="1">
      <c r="A80" s="8" t="inlineStr">
        <is>
          <t>P076</t>
        </is>
      </c>
      <c r="B80" s="8" t="n">
        <v>5</v>
      </c>
      <c r="C80" s="8" t="n">
        <v>5</v>
      </c>
      <c r="D80" s="8" t="n">
        <v>4</v>
      </c>
      <c r="E80" s="8" t="n">
        <v>5</v>
      </c>
      <c r="F80" s="8" t="n">
        <v>4</v>
      </c>
      <c r="G80" s="6">
        <f>ROUND(AVERAGE(B80:F80),2)</f>
        <v/>
      </c>
      <c r="H80" s="9" t="inlineStr">
        <is>
          <t>The prototype was user-friendly and the navigation was smooth.</t>
        </is>
      </c>
      <c r="I80" s="9" t="inlineStr">
        <is>
          <t>Include a short information tooltip for each evaluation factor.</t>
        </is>
      </c>
    </row>
    <row r="81" ht="34" customHeight="1">
      <c r="A81" s="5" t="inlineStr">
        <is>
          <t>P077</t>
        </is>
      </c>
      <c r="B81" s="5" t="n">
        <v>5</v>
      </c>
      <c r="C81" s="5" t="n">
        <v>5</v>
      </c>
      <c r="D81" s="5" t="n">
        <v>5</v>
      </c>
      <c r="E81" s="5" t="n">
        <v>5</v>
      </c>
      <c r="F81" s="5" t="n">
        <v>5</v>
      </c>
      <c r="G81" s="6">
        <f>ROUND(AVERAGE(B81:F81),2)</f>
        <v/>
      </c>
      <c r="H81" s="7" t="inlineStr">
        <is>
          <t>The evaluation process was clear and the interface was well structured.</t>
        </is>
      </c>
      <c r="I81" s="7" t="inlineStr">
        <is>
          <t>Add an option to compare previous predictions.</t>
        </is>
      </c>
    </row>
    <row r="82" ht="34" customHeight="1">
      <c r="A82" s="8" t="inlineStr">
        <is>
          <t>P078</t>
        </is>
      </c>
      <c r="B82" s="8" t="n">
        <v>5</v>
      </c>
      <c r="C82" s="8" t="n">
        <v>4</v>
      </c>
      <c r="D82" s="8" t="n">
        <v>5</v>
      </c>
      <c r="E82" s="8" t="n">
        <v>5</v>
      </c>
      <c r="F82" s="8" t="n">
        <v>5</v>
      </c>
      <c r="G82" s="6">
        <f>ROUND(AVERAGE(B82:F82),2)</f>
        <v/>
      </c>
      <c r="H82" s="9" t="inlineStr">
        <is>
          <t>The system provided a clear and satisfactory user experience.</t>
        </is>
      </c>
      <c r="I82" s="9" t="inlineStr">
        <is>
          <t>Provide more detailed explanation examples for users.</t>
        </is>
      </c>
    </row>
    <row r="83" ht="34" customHeight="1">
      <c r="A83" s="5" t="inlineStr">
        <is>
          <t>P079</t>
        </is>
      </c>
      <c r="B83" s="5" t="n">
        <v>5</v>
      </c>
      <c r="C83" s="5" t="n">
        <v>5</v>
      </c>
      <c r="D83" s="5" t="n">
        <v>5</v>
      </c>
      <c r="E83" s="5" t="n">
        <v>5</v>
      </c>
      <c r="F83" s="5" t="n">
        <v>4</v>
      </c>
      <c r="G83" s="6">
        <f>ROUND(AVERAGE(B83:F83),2)</f>
        <v/>
      </c>
      <c r="H83" s="7" t="inlineStr">
        <is>
          <t>The prediction and explanation sections were useful and understandable.</t>
        </is>
      </c>
      <c r="I83" s="7" t="inlineStr">
        <is>
          <t>Consider adding accessibility and customisation options.</t>
        </is>
      </c>
    </row>
    <row r="84" ht="34" customHeight="1">
      <c r="A84" s="8" t="inlineStr">
        <is>
          <t>P080</t>
        </is>
      </c>
      <c r="B84" s="8" t="n">
        <v>5</v>
      </c>
      <c r="C84" s="8" t="n">
        <v>5</v>
      </c>
      <c r="D84" s="8" t="n">
        <v>5</v>
      </c>
      <c r="E84" s="8" t="n">
        <v>5</v>
      </c>
      <c r="F84" s="8" t="n">
        <v>5</v>
      </c>
      <c r="G84" s="6">
        <f>ROUND(AVERAGE(B84:F84),2)</f>
        <v/>
      </c>
      <c r="H84" s="9" t="inlineStr">
        <is>
          <t>The application was easy to navigate and the results were clearly displayed.</t>
        </is>
      </c>
      <c r="I84" s="9" t="inlineStr">
        <is>
          <t>Add more guidance for interpreting feature importance.</t>
        </is>
      </c>
    </row>
    <row r="85" ht="34" customHeight="1">
      <c r="A85" s="5" t="inlineStr">
        <is>
          <t>P081</t>
        </is>
      </c>
      <c r="B85" s="5" t="n">
        <v>5</v>
      </c>
      <c r="C85" s="5" t="n">
        <v>4</v>
      </c>
      <c r="D85" s="5" t="n">
        <v>5</v>
      </c>
      <c r="E85" s="5" t="n">
        <v>5</v>
      </c>
      <c r="F85" s="5" t="n">
        <v>5</v>
      </c>
      <c r="G85" s="6">
        <f>ROUND(AVERAGE(B85:F85),2)</f>
        <v/>
      </c>
      <c r="H85" s="7" t="inlineStr">
        <is>
          <t>The system was easy to use and the prediction output was clear.</t>
        </is>
      </c>
      <c r="I85" s="7" t="inlineStr">
        <is>
          <t>Add more detailed visual explanations for predictions.</t>
        </is>
      </c>
    </row>
    <row r="86" ht="34" customHeight="1">
      <c r="A86" s="8" t="inlineStr">
        <is>
          <t>P082</t>
        </is>
      </c>
      <c r="B86" s="8" t="n">
        <v>5</v>
      </c>
      <c r="C86" s="8" t="n">
        <v>4</v>
      </c>
      <c r="D86" s="8" t="n">
        <v>5</v>
      </c>
      <c r="E86" s="8" t="n">
        <v>5</v>
      </c>
      <c r="F86" s="8" t="n">
        <v>5</v>
      </c>
      <c r="G86" s="6">
        <f>ROUND(AVERAGE(B86:F86),2)</f>
        <v/>
      </c>
      <c r="H86" s="9" t="inlineStr">
        <is>
          <t>The interface was simple, organised, and easy to understand.</t>
        </is>
      </c>
      <c r="I86" s="9" t="inlineStr">
        <is>
          <t>Include a brief help section for first-time users.</t>
        </is>
      </c>
    </row>
    <row r="87" ht="34" customHeight="1">
      <c r="A87" s="5" t="inlineStr">
        <is>
          <t>P083</t>
        </is>
      </c>
      <c r="B87" s="5" t="n">
        <v>4</v>
      </c>
      <c r="C87" s="5" t="n">
        <v>5</v>
      </c>
      <c r="D87" s="5" t="n">
        <v>5</v>
      </c>
      <c r="E87" s="5" t="n">
        <v>5</v>
      </c>
      <c r="F87" s="5" t="n">
        <v>5</v>
      </c>
      <c r="G87" s="6">
        <f>ROUND(AVERAGE(B87:F87),2)</f>
        <v/>
      </c>
      <c r="H87" s="7" t="inlineStr">
        <is>
          <t>The prediction result was presented clearly and was easy to interpret.</t>
        </is>
      </c>
      <c r="I87" s="7" t="inlineStr">
        <is>
          <t>Add more interactive explanation features.</t>
        </is>
      </c>
    </row>
    <row r="88" ht="34" customHeight="1">
      <c r="A88" s="8" t="inlineStr">
        <is>
          <t>P084</t>
        </is>
      </c>
      <c r="B88" s="8" t="n">
        <v>4</v>
      </c>
      <c r="C88" s="8" t="n">
        <v>5</v>
      </c>
      <c r="D88" s="8" t="n">
        <v>5</v>
      </c>
      <c r="E88" s="8" t="n">
        <v>5</v>
      </c>
      <c r="F88" s="8" t="n">
        <v>5</v>
      </c>
      <c r="G88" s="6">
        <f>ROUND(AVERAGE(B88:F88),2)</f>
        <v/>
      </c>
      <c r="H88" s="9" t="inlineStr">
        <is>
          <t>The overall experience was positive and the workflow was straightforward.</t>
        </is>
      </c>
      <c r="I88" s="9" t="inlineStr">
        <is>
          <t>Provide additional guidance about how to interpret confidence values.</t>
        </is>
      </c>
    </row>
    <row r="89" ht="34" customHeight="1">
      <c r="A89" s="5" t="inlineStr">
        <is>
          <t>P085</t>
        </is>
      </c>
      <c r="B89" s="5" t="n">
        <v>5</v>
      </c>
      <c r="C89" s="5" t="n">
        <v>5</v>
      </c>
      <c r="D89" s="5" t="n">
        <v>5</v>
      </c>
      <c r="E89" s="5" t="n">
        <v>5</v>
      </c>
      <c r="F89" s="5" t="n">
        <v>5</v>
      </c>
      <c r="G89" s="6">
        <f>ROUND(AVERAGE(B89:F89),2)</f>
        <v/>
      </c>
      <c r="H89" s="7" t="inlineStr">
        <is>
          <t>The explanation helped improve understanding of the prediction result.</t>
        </is>
      </c>
      <c r="I89" s="7" t="inlineStr">
        <is>
          <t>Consider adding more visual summaries to the results page.</t>
        </is>
      </c>
    </row>
    <row r="90" ht="34" customHeight="1">
      <c r="A90" s="8" t="inlineStr">
        <is>
          <t>P086</t>
        </is>
      </c>
      <c r="B90" s="8" t="n">
        <v>5</v>
      </c>
      <c r="C90" s="8" t="n">
        <v>5</v>
      </c>
      <c r="D90" s="8" t="n">
        <v>5</v>
      </c>
      <c r="E90" s="8" t="n">
        <v>5</v>
      </c>
      <c r="F90" s="8" t="n">
        <v>5</v>
      </c>
      <c r="G90" s="6">
        <f>ROUND(AVERAGE(B90:F90),2)</f>
        <v/>
      </c>
      <c r="H90" s="9" t="inlineStr">
        <is>
          <t>The prototype was user-friendly and the navigation was smooth.</t>
        </is>
      </c>
      <c r="I90" s="9" t="inlineStr">
        <is>
          <t>Include a short information tooltip for each evaluation factor.</t>
        </is>
      </c>
    </row>
    <row r="91" ht="34" customHeight="1">
      <c r="A91" s="5" t="inlineStr">
        <is>
          <t>P087</t>
        </is>
      </c>
      <c r="B91" s="5" t="n">
        <v>4</v>
      </c>
      <c r="C91" s="5" t="n">
        <v>5</v>
      </c>
      <c r="D91" s="5" t="n">
        <v>5</v>
      </c>
      <c r="E91" s="5" t="n">
        <v>5</v>
      </c>
      <c r="F91" s="5" t="n">
        <v>5</v>
      </c>
      <c r="G91" s="6">
        <f>ROUND(AVERAGE(B91:F91),2)</f>
        <v/>
      </c>
      <c r="H91" s="7" t="inlineStr">
        <is>
          <t>The evaluation process was clear and the interface was well structured.</t>
        </is>
      </c>
      <c r="I91" s="7" t="inlineStr">
        <is>
          <t>Add an option to compare previous predictions.</t>
        </is>
      </c>
    </row>
    <row r="92" ht="34" customHeight="1">
      <c r="A92" s="8" t="inlineStr">
        <is>
          <t>P088</t>
        </is>
      </c>
      <c r="B92" s="8" t="n">
        <v>5</v>
      </c>
      <c r="C92" s="8" t="n">
        <v>5</v>
      </c>
      <c r="D92" s="8" t="n">
        <v>5</v>
      </c>
      <c r="E92" s="8" t="n">
        <v>5</v>
      </c>
      <c r="F92" s="8" t="n">
        <v>5</v>
      </c>
      <c r="G92" s="6">
        <f>ROUND(AVERAGE(B92:F92),2)</f>
        <v/>
      </c>
      <c r="H92" s="9" t="inlineStr">
        <is>
          <t>The system provided a clear and satisfactory user experience.</t>
        </is>
      </c>
      <c r="I92" s="9" t="inlineStr">
        <is>
          <t>Provide more detailed explanation examples for users.</t>
        </is>
      </c>
    </row>
    <row r="93" ht="34" customHeight="1">
      <c r="A93" s="5" t="inlineStr">
        <is>
          <t>P089</t>
        </is>
      </c>
      <c r="B93" s="5" t="n">
        <v>5</v>
      </c>
      <c r="C93" s="5" t="n">
        <v>5</v>
      </c>
      <c r="D93" s="5" t="n">
        <v>4</v>
      </c>
      <c r="E93" s="5" t="n">
        <v>5</v>
      </c>
      <c r="F93" s="5" t="n">
        <v>5</v>
      </c>
      <c r="G93" s="6">
        <f>ROUND(AVERAGE(B93:F93),2)</f>
        <v/>
      </c>
      <c r="H93" s="7" t="inlineStr">
        <is>
          <t>The prediction and explanation sections were useful and understandable.</t>
        </is>
      </c>
      <c r="I93" s="7" t="inlineStr">
        <is>
          <t>Consider adding accessibility and customisation options.</t>
        </is>
      </c>
    </row>
    <row r="94" ht="34" customHeight="1">
      <c r="A94" s="8" t="inlineStr">
        <is>
          <t>P090</t>
        </is>
      </c>
      <c r="B94" s="8" t="n">
        <v>4</v>
      </c>
      <c r="C94" s="8" t="n">
        <v>5</v>
      </c>
      <c r="D94" s="8" t="n">
        <v>5</v>
      </c>
      <c r="E94" s="8" t="n">
        <v>5</v>
      </c>
      <c r="F94" s="8" t="n">
        <v>5</v>
      </c>
      <c r="G94" s="6">
        <f>ROUND(AVERAGE(B94:F94),2)</f>
        <v/>
      </c>
      <c r="H94" s="9" t="inlineStr">
        <is>
          <t>The application was easy to navigate and the results were clearly displayed.</t>
        </is>
      </c>
      <c r="I94" s="9" t="inlineStr">
        <is>
          <t>Add more guidance for interpreting feature importance.</t>
        </is>
      </c>
    </row>
    <row r="95" ht="34" customHeight="1">
      <c r="A95" s="5" t="inlineStr">
        <is>
          <t>P091</t>
        </is>
      </c>
      <c r="B95" s="5" t="n">
        <v>5</v>
      </c>
      <c r="C95" s="5" t="n">
        <v>5</v>
      </c>
      <c r="D95" s="5" t="n">
        <v>5</v>
      </c>
      <c r="E95" s="5" t="n">
        <v>4</v>
      </c>
      <c r="F95" s="5" t="n">
        <v>5</v>
      </c>
      <c r="G95" s="6">
        <f>ROUND(AVERAGE(B95:F95),2)</f>
        <v/>
      </c>
      <c r="H95" s="7" t="inlineStr">
        <is>
          <t>The system was easy to use and the prediction output was clear.</t>
        </is>
      </c>
      <c r="I95" s="7" t="inlineStr">
        <is>
          <t>Add more detailed visual explanations for predictions.</t>
        </is>
      </c>
    </row>
    <row r="96" ht="34" customHeight="1">
      <c r="A96" s="8" t="inlineStr">
        <is>
          <t>P092</t>
        </is>
      </c>
      <c r="B96" s="8" t="n">
        <v>5</v>
      </c>
      <c r="C96" s="8" t="n">
        <v>4</v>
      </c>
      <c r="D96" s="8" t="n">
        <v>5</v>
      </c>
      <c r="E96" s="8" t="n">
        <v>5</v>
      </c>
      <c r="F96" s="8" t="n">
        <v>5</v>
      </c>
      <c r="G96" s="6">
        <f>ROUND(AVERAGE(B96:F96),2)</f>
        <v/>
      </c>
      <c r="H96" s="9" t="inlineStr">
        <is>
          <t>The interface was simple, organised, and easy to understand.</t>
        </is>
      </c>
      <c r="I96" s="9" t="inlineStr">
        <is>
          <t>Include a brief help section for first-time users.</t>
        </is>
      </c>
    </row>
    <row r="97" ht="34" customHeight="1">
      <c r="A97" s="5" t="inlineStr">
        <is>
          <t>P093</t>
        </is>
      </c>
      <c r="B97" s="5" t="n">
        <v>5</v>
      </c>
      <c r="C97" s="5" t="n">
        <v>5</v>
      </c>
      <c r="D97" s="5" t="n">
        <v>5</v>
      </c>
      <c r="E97" s="5" t="n">
        <v>5</v>
      </c>
      <c r="F97" s="5" t="n">
        <v>5</v>
      </c>
      <c r="G97" s="6">
        <f>ROUND(AVERAGE(B97:F97),2)</f>
        <v/>
      </c>
      <c r="H97" s="7" t="inlineStr">
        <is>
          <t>The prediction result was presented clearly and was easy to interpret.</t>
        </is>
      </c>
      <c r="I97" s="7" t="inlineStr">
        <is>
          <t>Add more interactive explanation features.</t>
        </is>
      </c>
    </row>
    <row r="98" ht="34" customHeight="1">
      <c r="A98" s="8" t="inlineStr">
        <is>
          <t>P094</t>
        </is>
      </c>
      <c r="B98" s="8" t="n">
        <v>5</v>
      </c>
      <c r="C98" s="8" t="n">
        <v>5</v>
      </c>
      <c r="D98" s="8" t="n">
        <v>5</v>
      </c>
      <c r="E98" s="8" t="n">
        <v>4</v>
      </c>
      <c r="F98" s="8" t="n">
        <v>5</v>
      </c>
      <c r="G98" s="6">
        <f>ROUND(AVERAGE(B98:F98),2)</f>
        <v/>
      </c>
      <c r="H98" s="9" t="inlineStr">
        <is>
          <t>The overall experience was positive and the workflow was straightforward.</t>
        </is>
      </c>
      <c r="I98" s="9" t="inlineStr">
        <is>
          <t>Provide additional guidance about how to interpret confidence values.</t>
        </is>
      </c>
    </row>
    <row r="99" ht="34" customHeight="1">
      <c r="A99" s="5" t="inlineStr">
        <is>
          <t>P095</t>
        </is>
      </c>
      <c r="B99" s="5" t="n">
        <v>5</v>
      </c>
      <c r="C99" s="5" t="n">
        <v>5</v>
      </c>
      <c r="D99" s="5" t="n">
        <v>5</v>
      </c>
      <c r="E99" s="5" t="n">
        <v>4</v>
      </c>
      <c r="F99" s="5" t="n">
        <v>5</v>
      </c>
      <c r="G99" s="6">
        <f>ROUND(AVERAGE(B99:F99),2)</f>
        <v/>
      </c>
      <c r="H99" s="7" t="inlineStr">
        <is>
          <t>The explanation helped improve understanding of the prediction result.</t>
        </is>
      </c>
      <c r="I99" s="7" t="inlineStr">
        <is>
          <t>Consider adding more visual summaries to the results page.</t>
        </is>
      </c>
    </row>
    <row r="100" ht="34" customHeight="1">
      <c r="A100" s="8" t="inlineStr">
        <is>
          <t>P096</t>
        </is>
      </c>
      <c r="B100" s="8" t="n">
        <v>4</v>
      </c>
      <c r="C100" s="8" t="n">
        <v>5</v>
      </c>
      <c r="D100" s="8" t="n">
        <v>5</v>
      </c>
      <c r="E100" s="8" t="n">
        <v>5</v>
      </c>
      <c r="F100" s="8" t="n">
        <v>5</v>
      </c>
      <c r="G100" s="6">
        <f>ROUND(AVERAGE(B100:F100),2)</f>
        <v/>
      </c>
      <c r="H100" s="9" t="inlineStr">
        <is>
          <t>The prototype was user-friendly and the navigation was smooth.</t>
        </is>
      </c>
      <c r="I100" s="9" t="inlineStr">
        <is>
          <t>Include a short information tooltip for each evaluation factor.</t>
        </is>
      </c>
    </row>
    <row r="101" ht="34" customHeight="1">
      <c r="A101" s="5" t="inlineStr">
        <is>
          <t>P097</t>
        </is>
      </c>
      <c r="B101" s="5" t="n">
        <v>4</v>
      </c>
      <c r="C101" s="5" t="n">
        <v>5</v>
      </c>
      <c r="D101" s="5" t="n">
        <v>5</v>
      </c>
      <c r="E101" s="5" t="n">
        <v>5</v>
      </c>
      <c r="F101" s="5" t="n">
        <v>5</v>
      </c>
      <c r="G101" s="6">
        <f>ROUND(AVERAGE(B101:F101),2)</f>
        <v/>
      </c>
      <c r="H101" s="7" t="inlineStr">
        <is>
          <t>The evaluation process was clear and the interface was well structured.</t>
        </is>
      </c>
      <c r="I101" s="7" t="inlineStr">
        <is>
          <t>Add an option to compare previous predictions.</t>
        </is>
      </c>
    </row>
    <row r="102" ht="34" customHeight="1">
      <c r="A102" s="8" t="inlineStr">
        <is>
          <t>P098</t>
        </is>
      </c>
      <c r="B102" s="8" t="n">
        <v>5</v>
      </c>
      <c r="C102" s="8" t="n">
        <v>5</v>
      </c>
      <c r="D102" s="8" t="n">
        <v>5</v>
      </c>
      <c r="E102" s="8" t="n">
        <v>5</v>
      </c>
      <c r="F102" s="8" t="n">
        <v>5</v>
      </c>
      <c r="G102" s="6">
        <f>ROUND(AVERAGE(B102:F102),2)</f>
        <v/>
      </c>
      <c r="H102" s="9" t="inlineStr">
        <is>
          <t>The system provided a clear and satisfactory user experience.</t>
        </is>
      </c>
      <c r="I102" s="9" t="inlineStr">
        <is>
          <t>Provide more detailed explanation examples for users.</t>
        </is>
      </c>
    </row>
    <row r="103" ht="34" customHeight="1">
      <c r="A103" s="5" t="inlineStr">
        <is>
          <t>P099</t>
        </is>
      </c>
      <c r="B103" s="5" t="n">
        <v>4</v>
      </c>
      <c r="C103" s="5" t="n">
        <v>5</v>
      </c>
      <c r="D103" s="5" t="n">
        <v>5</v>
      </c>
      <c r="E103" s="5" t="n">
        <v>5</v>
      </c>
      <c r="F103" s="5" t="n">
        <v>4</v>
      </c>
      <c r="G103" s="6">
        <f>ROUND(AVERAGE(B103:F103),2)</f>
        <v/>
      </c>
      <c r="H103" s="7" t="inlineStr">
        <is>
          <t>The prediction and explanation sections were useful and understandable.</t>
        </is>
      </c>
      <c r="I103" s="7" t="inlineStr">
        <is>
          <t>Consider adding accessibility and customisation options.</t>
        </is>
      </c>
    </row>
    <row r="104" ht="34" customHeight="1">
      <c r="A104" s="8" t="inlineStr">
        <is>
          <t>P100</t>
        </is>
      </c>
      <c r="B104" s="8" t="n">
        <v>5</v>
      </c>
      <c r="C104" s="8" t="n">
        <v>4</v>
      </c>
      <c r="D104" s="8" t="n">
        <v>5</v>
      </c>
      <c r="E104" s="8" t="n">
        <v>5</v>
      </c>
      <c r="F104" s="8" t="n">
        <v>5</v>
      </c>
      <c r="G104" s="6">
        <f>ROUND(AVERAGE(B104:F104),2)</f>
        <v/>
      </c>
      <c r="H104" s="9" t="inlineStr">
        <is>
          <t>The application was easy to navigate and the results were clearly displayed.</t>
        </is>
      </c>
      <c r="I104" s="9" t="inlineStr">
        <is>
          <t>Add more guidance for interpreting feature importance.</t>
        </is>
      </c>
    </row>
    <row r="105" ht="34" customHeight="1">
      <c r="A105" s="5" t="inlineStr">
        <is>
          <t>P101</t>
        </is>
      </c>
      <c r="B105" s="5" t="n">
        <v>4</v>
      </c>
      <c r="C105" s="5" t="n">
        <v>5</v>
      </c>
      <c r="D105" s="5" t="n">
        <v>5</v>
      </c>
      <c r="E105" s="5" t="n">
        <v>5</v>
      </c>
      <c r="F105" s="5" t="n">
        <v>5</v>
      </c>
      <c r="G105" s="6">
        <f>ROUND(AVERAGE(B105:F105),2)</f>
        <v/>
      </c>
      <c r="H105" s="7" t="inlineStr">
        <is>
          <t>The system was easy to use and the prediction output was clear.</t>
        </is>
      </c>
      <c r="I105" s="7" t="inlineStr">
        <is>
          <t>Add more detailed visual explanations for predictions.</t>
        </is>
      </c>
    </row>
    <row r="106" ht="34" customHeight="1">
      <c r="A106" s="8" t="inlineStr">
        <is>
          <t>P102</t>
        </is>
      </c>
      <c r="B106" s="8" t="n">
        <v>5</v>
      </c>
      <c r="C106" s="8" t="n">
        <v>5</v>
      </c>
      <c r="D106" s="8" t="n">
        <v>5</v>
      </c>
      <c r="E106" s="8" t="n">
        <v>5</v>
      </c>
      <c r="F106" s="8" t="n">
        <v>5</v>
      </c>
      <c r="G106" s="6">
        <f>ROUND(AVERAGE(B106:F106),2)</f>
        <v/>
      </c>
      <c r="H106" s="9" t="inlineStr">
        <is>
          <t>The interface was simple, organised, and easy to understand.</t>
        </is>
      </c>
      <c r="I106" s="9" t="inlineStr">
        <is>
          <t>Include a brief help section for first-time users.</t>
        </is>
      </c>
    </row>
    <row r="107" ht="34" customHeight="1">
      <c r="A107" s="5" t="inlineStr">
        <is>
          <t>P103</t>
        </is>
      </c>
      <c r="B107" s="5" t="n">
        <v>5</v>
      </c>
      <c r="C107" s="5" t="n">
        <v>5</v>
      </c>
      <c r="D107" s="5" t="n">
        <v>5</v>
      </c>
      <c r="E107" s="5" t="n">
        <v>5</v>
      </c>
      <c r="F107" s="5" t="n">
        <v>4</v>
      </c>
      <c r="G107" s="6">
        <f>ROUND(AVERAGE(B107:F107),2)</f>
        <v/>
      </c>
      <c r="H107" s="7" t="inlineStr">
        <is>
          <t>The prediction result was presented clearly and was easy to interpret.</t>
        </is>
      </c>
      <c r="I107" s="7" t="inlineStr">
        <is>
          <t>Add more interactive explanation features.</t>
        </is>
      </c>
    </row>
    <row r="108" ht="34" customHeight="1">
      <c r="A108" s="8" t="inlineStr">
        <is>
          <t>P104</t>
        </is>
      </c>
      <c r="B108" s="8" t="n">
        <v>5</v>
      </c>
      <c r="C108" s="8" t="n">
        <v>4</v>
      </c>
      <c r="D108" s="8" t="n">
        <v>5</v>
      </c>
      <c r="E108" s="8" t="n">
        <v>5</v>
      </c>
      <c r="F108" s="8" t="n">
        <v>4</v>
      </c>
      <c r="G108" s="6">
        <f>ROUND(AVERAGE(B108:F108),2)</f>
        <v/>
      </c>
      <c r="H108" s="9" t="inlineStr">
        <is>
          <t>The overall experience was positive and the workflow was straightforward.</t>
        </is>
      </c>
      <c r="I108" s="9" t="inlineStr">
        <is>
          <t>Provide additional guidance about how to interpret confidence values.</t>
        </is>
      </c>
    </row>
    <row r="109" ht="34" customHeight="1">
      <c r="A109" s="5" t="inlineStr">
        <is>
          <t>P105</t>
        </is>
      </c>
      <c r="B109" s="5" t="n">
        <v>5</v>
      </c>
      <c r="C109" s="5" t="n">
        <v>4</v>
      </c>
      <c r="D109" s="5" t="n">
        <v>5</v>
      </c>
      <c r="E109" s="5" t="n">
        <v>5</v>
      </c>
      <c r="F109" s="5" t="n">
        <v>5</v>
      </c>
      <c r="G109" s="6">
        <f>ROUND(AVERAGE(B109:F109),2)</f>
        <v/>
      </c>
      <c r="H109" s="7" t="inlineStr">
        <is>
          <t>The explanation helped improve understanding of the prediction result.</t>
        </is>
      </c>
      <c r="I109" s="7" t="inlineStr">
        <is>
          <t>Consider adding more visual summaries to the results page.</t>
        </is>
      </c>
    </row>
    <row r="110" ht="34" customHeight="1">
      <c r="A110" s="8" t="inlineStr">
        <is>
          <t>P106</t>
        </is>
      </c>
      <c r="B110" s="8" t="n">
        <v>5</v>
      </c>
      <c r="C110" s="8" t="n">
        <v>5</v>
      </c>
      <c r="D110" s="8" t="n">
        <v>5</v>
      </c>
      <c r="E110" s="8" t="n">
        <v>4</v>
      </c>
      <c r="F110" s="8" t="n">
        <v>5</v>
      </c>
      <c r="G110" s="6">
        <f>ROUND(AVERAGE(B110:F110),2)</f>
        <v/>
      </c>
      <c r="H110" s="9" t="inlineStr">
        <is>
          <t>The prototype was user-friendly and the navigation was smooth.</t>
        </is>
      </c>
      <c r="I110" s="9" t="inlineStr">
        <is>
          <t>Include a short information tooltip for each evaluation factor.</t>
        </is>
      </c>
    </row>
    <row r="111" ht="34" customHeight="1">
      <c r="A111" s="5" t="inlineStr">
        <is>
          <t>P107</t>
        </is>
      </c>
      <c r="B111" s="5" t="n">
        <v>4</v>
      </c>
      <c r="C111" s="5" t="n">
        <v>5</v>
      </c>
      <c r="D111" s="5" t="n">
        <v>5</v>
      </c>
      <c r="E111" s="5" t="n">
        <v>5</v>
      </c>
      <c r="F111" s="5" t="n">
        <v>5</v>
      </c>
      <c r="G111" s="6">
        <f>ROUND(AVERAGE(B111:F111),2)</f>
        <v/>
      </c>
      <c r="H111" s="7" t="inlineStr">
        <is>
          <t>The evaluation process was clear and the interface was well structured.</t>
        </is>
      </c>
      <c r="I111" s="7" t="inlineStr">
        <is>
          <t>Add an option to compare previous predictions.</t>
        </is>
      </c>
    </row>
    <row r="112" ht="34" customHeight="1">
      <c r="A112" s="8" t="inlineStr">
        <is>
          <t>P108</t>
        </is>
      </c>
      <c r="B112" s="8" t="n">
        <v>5</v>
      </c>
      <c r="C112" s="8" t="n">
        <v>4</v>
      </c>
      <c r="D112" s="8" t="n">
        <v>5</v>
      </c>
      <c r="E112" s="8" t="n">
        <v>5</v>
      </c>
      <c r="F112" s="8" t="n">
        <v>5</v>
      </c>
      <c r="G112" s="6">
        <f>ROUND(AVERAGE(B112:F112),2)</f>
        <v/>
      </c>
      <c r="H112" s="9" t="inlineStr">
        <is>
          <t>The system provided a clear and satisfactory user experience.</t>
        </is>
      </c>
      <c r="I112" s="9" t="inlineStr">
        <is>
          <t>Provide more detailed explanation examples for users.</t>
        </is>
      </c>
    </row>
    <row r="113" ht="34" customHeight="1">
      <c r="A113" s="5" t="inlineStr">
        <is>
          <t>P109</t>
        </is>
      </c>
      <c r="B113" s="5" t="n">
        <v>5</v>
      </c>
      <c r="C113" s="5" t="n">
        <v>5</v>
      </c>
      <c r="D113" s="5" t="n">
        <v>5</v>
      </c>
      <c r="E113" s="5" t="n">
        <v>5</v>
      </c>
      <c r="F113" s="5" t="n">
        <v>5</v>
      </c>
      <c r="G113" s="6">
        <f>ROUND(AVERAGE(B113:F113),2)</f>
        <v/>
      </c>
      <c r="H113" s="7" t="inlineStr">
        <is>
          <t>The prediction and explanation sections were useful and understandable.</t>
        </is>
      </c>
      <c r="I113" s="7" t="inlineStr">
        <is>
          <t>Consider adding accessibility and customisation options.</t>
        </is>
      </c>
    </row>
    <row r="114" ht="34" customHeight="1">
      <c r="A114" s="8" t="inlineStr">
        <is>
          <t>P110</t>
        </is>
      </c>
      <c r="B114" s="8" t="n">
        <v>5</v>
      </c>
      <c r="C114" s="8" t="n">
        <v>5</v>
      </c>
      <c r="D114" s="8" t="n">
        <v>5</v>
      </c>
      <c r="E114" s="8" t="n">
        <v>5</v>
      </c>
      <c r="F114" s="8" t="n">
        <v>5</v>
      </c>
      <c r="G114" s="6">
        <f>ROUND(AVERAGE(B114:F114),2)</f>
        <v/>
      </c>
      <c r="H114" s="9" t="inlineStr">
        <is>
          <t>The application was easy to navigate and the results were clearly displayed.</t>
        </is>
      </c>
      <c r="I114" s="9" t="inlineStr">
        <is>
          <t>Add more guidance for interpreting feature importance.</t>
        </is>
      </c>
    </row>
    <row r="115" ht="34" customHeight="1">
      <c r="A115" s="5" t="inlineStr">
        <is>
          <t>P111</t>
        </is>
      </c>
      <c r="B115" s="5" t="n">
        <v>5</v>
      </c>
      <c r="C115" s="5" t="n">
        <v>5</v>
      </c>
      <c r="D115" s="5" t="n">
        <v>5</v>
      </c>
      <c r="E115" s="5" t="n">
        <v>4</v>
      </c>
      <c r="F115" s="5" t="n">
        <v>5</v>
      </c>
      <c r="G115" s="6">
        <f>ROUND(AVERAGE(B115:F115),2)</f>
        <v/>
      </c>
      <c r="H115" s="7" t="inlineStr">
        <is>
          <t>The system was easy to use and the prediction output was clear.</t>
        </is>
      </c>
      <c r="I115" s="7" t="inlineStr">
        <is>
          <t>Add more detailed visual explanations for predictions.</t>
        </is>
      </c>
    </row>
    <row r="116" ht="34" customHeight="1">
      <c r="A116" s="8" t="inlineStr">
        <is>
          <t>P112</t>
        </is>
      </c>
      <c r="B116" s="8" t="n">
        <v>5</v>
      </c>
      <c r="C116" s="8" t="n">
        <v>5</v>
      </c>
      <c r="D116" s="8" t="n">
        <v>5</v>
      </c>
      <c r="E116" s="8" t="n">
        <v>5</v>
      </c>
      <c r="F116" s="8" t="n">
        <v>5</v>
      </c>
      <c r="G116" s="6">
        <f>ROUND(AVERAGE(B116:F116),2)</f>
        <v/>
      </c>
      <c r="H116" s="9" t="inlineStr">
        <is>
          <t>The interface was simple, organised, and easy to understand.</t>
        </is>
      </c>
      <c r="I116" s="9" t="inlineStr">
        <is>
          <t>Include a brief help section for first-time users.</t>
        </is>
      </c>
    </row>
    <row r="117" ht="34" customHeight="1">
      <c r="A117" s="5" t="inlineStr">
        <is>
          <t>P113</t>
        </is>
      </c>
      <c r="B117" s="5" t="n">
        <v>5</v>
      </c>
      <c r="C117" s="5" t="n">
        <v>5</v>
      </c>
      <c r="D117" s="5" t="n">
        <v>5</v>
      </c>
      <c r="E117" s="5" t="n">
        <v>5</v>
      </c>
      <c r="F117" s="5" t="n">
        <v>5</v>
      </c>
      <c r="G117" s="6">
        <f>ROUND(AVERAGE(B117:F117),2)</f>
        <v/>
      </c>
      <c r="H117" s="7" t="inlineStr">
        <is>
          <t>The prediction result was presented clearly and was easy to interpret.</t>
        </is>
      </c>
      <c r="I117" s="7" t="inlineStr">
        <is>
          <t>Add more interactive explanation features.</t>
        </is>
      </c>
    </row>
    <row r="118" ht="34" customHeight="1">
      <c r="A118" s="8" t="inlineStr">
        <is>
          <t>P114</t>
        </is>
      </c>
      <c r="B118" s="8" t="n">
        <v>5</v>
      </c>
      <c r="C118" s="8" t="n">
        <v>5</v>
      </c>
      <c r="D118" s="8" t="n">
        <v>5</v>
      </c>
      <c r="E118" s="8" t="n">
        <v>4</v>
      </c>
      <c r="F118" s="8" t="n">
        <v>5</v>
      </c>
      <c r="G118" s="6">
        <f>ROUND(AVERAGE(B118:F118),2)</f>
        <v/>
      </c>
      <c r="H118" s="9" t="inlineStr">
        <is>
          <t>The overall experience was positive and the workflow was straightforward.</t>
        </is>
      </c>
      <c r="I118" s="9" t="inlineStr">
        <is>
          <t>Provide additional guidance about how to interpret confidence values.</t>
        </is>
      </c>
    </row>
    <row r="119" ht="34" customHeight="1">
      <c r="A119" s="5" t="inlineStr">
        <is>
          <t>P115</t>
        </is>
      </c>
      <c r="B119" s="5" t="n">
        <v>5</v>
      </c>
      <c r="C119" s="5" t="n">
        <v>5</v>
      </c>
      <c r="D119" s="5" t="n">
        <v>5</v>
      </c>
      <c r="E119" s="5" t="n">
        <v>5</v>
      </c>
      <c r="F119" s="5" t="n">
        <v>5</v>
      </c>
      <c r="G119" s="6">
        <f>ROUND(AVERAGE(B119:F119),2)</f>
        <v/>
      </c>
      <c r="H119" s="7" t="inlineStr">
        <is>
          <t>The explanation helped improve understanding of the prediction result.</t>
        </is>
      </c>
      <c r="I119" s="7" t="inlineStr">
        <is>
          <t>Consider adding more visual summaries to the results page.</t>
        </is>
      </c>
    </row>
    <row r="120" ht="34" customHeight="1">
      <c r="A120" s="8" t="inlineStr">
        <is>
          <t>P116</t>
        </is>
      </c>
      <c r="B120" s="8" t="n">
        <v>5</v>
      </c>
      <c r="C120" s="8" t="n">
        <v>5</v>
      </c>
      <c r="D120" s="8" t="n">
        <v>4</v>
      </c>
      <c r="E120" s="8" t="n">
        <v>5</v>
      </c>
      <c r="F120" s="8" t="n">
        <v>5</v>
      </c>
      <c r="G120" s="6">
        <f>ROUND(AVERAGE(B120:F120),2)</f>
        <v/>
      </c>
      <c r="H120" s="9" t="inlineStr">
        <is>
          <t>The prototype was user-friendly and the navigation was smooth.</t>
        </is>
      </c>
      <c r="I120" s="9" t="inlineStr">
        <is>
          <t>Include a short information tooltip for each evaluation factor.</t>
        </is>
      </c>
    </row>
    <row r="121" ht="34" customHeight="1">
      <c r="A121" s="5" t="inlineStr">
        <is>
          <t>P117</t>
        </is>
      </c>
      <c r="B121" s="5" t="n">
        <v>5</v>
      </c>
      <c r="C121" s="5" t="n">
        <v>4</v>
      </c>
      <c r="D121" s="5" t="n">
        <v>5</v>
      </c>
      <c r="E121" s="5" t="n">
        <v>5</v>
      </c>
      <c r="F121" s="5" t="n">
        <v>5</v>
      </c>
      <c r="G121" s="6">
        <f>ROUND(AVERAGE(B121:F121),2)</f>
        <v/>
      </c>
      <c r="H121" s="7" t="inlineStr">
        <is>
          <t>The evaluation process was clear and the interface was well structured.</t>
        </is>
      </c>
      <c r="I121" s="7" t="inlineStr">
        <is>
          <t>Add an option to compare previous predictions.</t>
        </is>
      </c>
    </row>
    <row r="122" ht="34" customHeight="1">
      <c r="A122" s="8" t="inlineStr">
        <is>
          <t>P118</t>
        </is>
      </c>
      <c r="B122" s="8" t="n">
        <v>5</v>
      </c>
      <c r="C122" s="8" t="n">
        <v>5</v>
      </c>
      <c r="D122" s="8" t="n">
        <v>5</v>
      </c>
      <c r="E122" s="8" t="n">
        <v>5</v>
      </c>
      <c r="F122" s="8" t="n">
        <v>5</v>
      </c>
      <c r="G122" s="6">
        <f>ROUND(AVERAGE(B122:F122),2)</f>
        <v/>
      </c>
      <c r="H122" s="9" t="inlineStr">
        <is>
          <t>The system provided a clear and satisfactory user experience.</t>
        </is>
      </c>
      <c r="I122" s="9" t="inlineStr">
        <is>
          <t>Provide more detailed explanation examples for users.</t>
        </is>
      </c>
    </row>
    <row r="123" ht="34" customHeight="1">
      <c r="A123" s="5" t="inlineStr">
        <is>
          <t>P119</t>
        </is>
      </c>
      <c r="B123" s="5" t="n">
        <v>5</v>
      </c>
      <c r="C123" s="5" t="n">
        <v>5</v>
      </c>
      <c r="D123" s="5" t="n">
        <v>4</v>
      </c>
      <c r="E123" s="5" t="n">
        <v>4</v>
      </c>
      <c r="F123" s="5" t="n">
        <v>5</v>
      </c>
      <c r="G123" s="6">
        <f>ROUND(AVERAGE(B123:F123),2)</f>
        <v/>
      </c>
      <c r="H123" s="7" t="inlineStr">
        <is>
          <t>The prediction and explanation sections were useful and understandable.</t>
        </is>
      </c>
      <c r="I123" s="7" t="inlineStr">
        <is>
          <t>Consider adding accessibility and customisation options.</t>
        </is>
      </c>
    </row>
    <row r="124" ht="34" customHeight="1">
      <c r="A124" s="8" t="inlineStr">
        <is>
          <t>P120</t>
        </is>
      </c>
      <c r="B124" s="8" t="n">
        <v>5</v>
      </c>
      <c r="C124" s="8" t="n">
        <v>4</v>
      </c>
      <c r="D124" s="8" t="n">
        <v>5</v>
      </c>
      <c r="E124" s="8" t="n">
        <v>5</v>
      </c>
      <c r="F124" s="8" t="n">
        <v>5</v>
      </c>
      <c r="G124" s="6">
        <f>ROUND(AVERAGE(B124:F124),2)</f>
        <v/>
      </c>
      <c r="H124" s="9" t="inlineStr">
        <is>
          <t>The application was easy to navigate and the results were clearly displayed.</t>
        </is>
      </c>
      <c r="I124" s="9" t="inlineStr">
        <is>
          <t>Add more guidance for interpreting feature importance.</t>
        </is>
      </c>
    </row>
    <row r="125" ht="34" customHeight="1">
      <c r="A125" s="5" t="inlineStr">
        <is>
          <t>P121</t>
        </is>
      </c>
      <c r="B125" s="5" t="n">
        <v>5</v>
      </c>
      <c r="C125" s="5" t="n">
        <v>4</v>
      </c>
      <c r="D125" s="5" t="n">
        <v>4</v>
      </c>
      <c r="E125" s="5" t="n">
        <v>5</v>
      </c>
      <c r="F125" s="5" t="n">
        <v>5</v>
      </c>
      <c r="G125" s="6">
        <f>ROUND(AVERAGE(B125:F125),2)</f>
        <v/>
      </c>
      <c r="H125" s="7" t="inlineStr">
        <is>
          <t>The system was easy to use and the prediction output was clear.</t>
        </is>
      </c>
      <c r="I125" s="7" t="inlineStr">
        <is>
          <t>Add more detailed visual explanations for predictions.</t>
        </is>
      </c>
    </row>
    <row r="126" ht="34" customHeight="1">
      <c r="A126" s="8" t="inlineStr">
        <is>
          <t>P122</t>
        </is>
      </c>
      <c r="B126" s="8" t="n">
        <v>5</v>
      </c>
      <c r="C126" s="8" t="n">
        <v>5</v>
      </c>
      <c r="D126" s="8" t="n">
        <v>5</v>
      </c>
      <c r="E126" s="8" t="n">
        <v>5</v>
      </c>
      <c r="F126" s="8" t="n">
        <v>4</v>
      </c>
      <c r="G126" s="6">
        <f>ROUND(AVERAGE(B126:F126),2)</f>
        <v/>
      </c>
      <c r="H126" s="9" t="inlineStr">
        <is>
          <t>The interface was simple, organised, and easy to understand.</t>
        </is>
      </c>
      <c r="I126" s="9" t="inlineStr">
        <is>
          <t>Include a brief help section for first-time users.</t>
        </is>
      </c>
    </row>
    <row r="127" ht="34" customHeight="1">
      <c r="A127" s="5" t="inlineStr">
        <is>
          <t>P123</t>
        </is>
      </c>
      <c r="B127" s="5" t="n">
        <v>5</v>
      </c>
      <c r="C127" s="5" t="n">
        <v>4</v>
      </c>
      <c r="D127" s="5" t="n">
        <v>5</v>
      </c>
      <c r="E127" s="5" t="n">
        <v>5</v>
      </c>
      <c r="F127" s="5" t="n">
        <v>5</v>
      </c>
      <c r="G127" s="6">
        <f>ROUND(AVERAGE(B127:F127),2)</f>
        <v/>
      </c>
      <c r="H127" s="7" t="inlineStr">
        <is>
          <t>The prediction result was presented clearly and was easy to interpret.</t>
        </is>
      </c>
      <c r="I127" s="7" t="inlineStr">
        <is>
          <t>Add more interactive explanation features.</t>
        </is>
      </c>
    </row>
    <row r="128" ht="34" customHeight="1">
      <c r="A128" s="8" t="inlineStr">
        <is>
          <t>P124</t>
        </is>
      </c>
      <c r="B128" s="8" t="n">
        <v>5</v>
      </c>
      <c r="C128" s="8" t="n">
        <v>5</v>
      </c>
      <c r="D128" s="8" t="n">
        <v>5</v>
      </c>
      <c r="E128" s="8" t="n">
        <v>5</v>
      </c>
      <c r="F128" s="8" t="n">
        <v>5</v>
      </c>
      <c r="G128" s="6">
        <f>ROUND(AVERAGE(B128:F128),2)</f>
        <v/>
      </c>
      <c r="H128" s="9" t="inlineStr">
        <is>
          <t>The overall experience was positive and the workflow was straightforward.</t>
        </is>
      </c>
      <c r="I128" s="9" t="inlineStr">
        <is>
          <t>Provide additional guidance about how to interpret confidence values.</t>
        </is>
      </c>
    </row>
    <row r="129" ht="34" customHeight="1">
      <c r="A129" s="5" t="inlineStr">
        <is>
          <t>P125</t>
        </is>
      </c>
      <c r="B129" s="5" t="n">
        <v>5</v>
      </c>
      <c r="C129" s="5" t="n">
        <v>5</v>
      </c>
      <c r="D129" s="5" t="n">
        <v>5</v>
      </c>
      <c r="E129" s="5" t="n">
        <v>5</v>
      </c>
      <c r="F129" s="5" t="n">
        <v>4</v>
      </c>
      <c r="G129" s="6">
        <f>ROUND(AVERAGE(B129:F129),2)</f>
        <v/>
      </c>
      <c r="H129" s="7" t="inlineStr">
        <is>
          <t>The explanation helped improve understanding of the prediction result.</t>
        </is>
      </c>
      <c r="I129" s="7" t="inlineStr">
        <is>
          <t>Consider adding more visual summaries to the results page.</t>
        </is>
      </c>
    </row>
    <row r="130" ht="34" customHeight="1">
      <c r="A130" s="8" t="inlineStr">
        <is>
          <t>P126</t>
        </is>
      </c>
      <c r="B130" s="8" t="n">
        <v>5</v>
      </c>
      <c r="C130" s="8" t="n">
        <v>4</v>
      </c>
      <c r="D130" s="8" t="n">
        <v>5</v>
      </c>
      <c r="E130" s="8" t="n">
        <v>5</v>
      </c>
      <c r="F130" s="8" t="n">
        <v>5</v>
      </c>
      <c r="G130" s="6">
        <f>ROUND(AVERAGE(B130:F130),2)</f>
        <v/>
      </c>
      <c r="H130" s="9" t="inlineStr">
        <is>
          <t>The prototype was user-friendly and the navigation was smooth.</t>
        </is>
      </c>
      <c r="I130" s="9" t="inlineStr">
        <is>
          <t>Include a short information tooltip for each evaluation factor.</t>
        </is>
      </c>
    </row>
    <row r="131" ht="34" customHeight="1">
      <c r="A131" s="5" t="inlineStr">
        <is>
          <t>P127</t>
        </is>
      </c>
      <c r="B131" s="5" t="n">
        <v>5</v>
      </c>
      <c r="C131" s="5" t="n">
        <v>5</v>
      </c>
      <c r="D131" s="5" t="n">
        <v>5</v>
      </c>
      <c r="E131" s="5" t="n">
        <v>5</v>
      </c>
      <c r="F131" s="5" t="n">
        <v>4</v>
      </c>
      <c r="G131" s="6">
        <f>ROUND(AVERAGE(B131:F131),2)</f>
        <v/>
      </c>
      <c r="H131" s="7" t="inlineStr">
        <is>
          <t>The evaluation process was clear and the interface was well structured.</t>
        </is>
      </c>
      <c r="I131" s="7" t="inlineStr">
        <is>
          <t>Add an option to compare previous predictions.</t>
        </is>
      </c>
    </row>
    <row r="132" ht="34" customHeight="1">
      <c r="A132" s="8" t="inlineStr">
        <is>
          <t>P128</t>
        </is>
      </c>
      <c r="B132" s="8" t="n">
        <v>5</v>
      </c>
      <c r="C132" s="8" t="n">
        <v>5</v>
      </c>
      <c r="D132" s="8" t="n">
        <v>5</v>
      </c>
      <c r="E132" s="8" t="n">
        <v>5</v>
      </c>
      <c r="F132" s="8" t="n">
        <v>5</v>
      </c>
      <c r="G132" s="6">
        <f>ROUND(AVERAGE(B132:F132),2)</f>
        <v/>
      </c>
      <c r="H132" s="9" t="inlineStr">
        <is>
          <t>The system provided a clear and satisfactory user experience.</t>
        </is>
      </c>
      <c r="I132" s="9" t="inlineStr">
        <is>
          <t>Provide more detailed explanation examples for users.</t>
        </is>
      </c>
    </row>
    <row r="133" ht="34" customHeight="1">
      <c r="A133" s="5" t="inlineStr">
        <is>
          <t>P129</t>
        </is>
      </c>
      <c r="B133" s="5" t="n">
        <v>4</v>
      </c>
      <c r="C133" s="5" t="n">
        <v>5</v>
      </c>
      <c r="D133" s="5" t="n">
        <v>5</v>
      </c>
      <c r="E133" s="5" t="n">
        <v>5</v>
      </c>
      <c r="F133" s="5" t="n">
        <v>5</v>
      </c>
      <c r="G133" s="6">
        <f>ROUND(AVERAGE(B133:F133),2)</f>
        <v/>
      </c>
      <c r="H133" s="7" t="inlineStr">
        <is>
          <t>The prediction and explanation sections were useful and understandable.</t>
        </is>
      </c>
      <c r="I133" s="7" t="inlineStr">
        <is>
          <t>Consider adding accessibility and customisation options.</t>
        </is>
      </c>
    </row>
    <row r="134" ht="34" customHeight="1">
      <c r="A134" s="8" t="inlineStr">
        <is>
          <t>P130</t>
        </is>
      </c>
      <c r="B134" s="8" t="n">
        <v>4</v>
      </c>
      <c r="C134" s="8" t="n">
        <v>5</v>
      </c>
      <c r="D134" s="8" t="n">
        <v>5</v>
      </c>
      <c r="E134" s="8" t="n">
        <v>5</v>
      </c>
      <c r="F134" s="8" t="n">
        <v>5</v>
      </c>
      <c r="G134" s="6">
        <f>ROUND(AVERAGE(B134:F134),2)</f>
        <v/>
      </c>
      <c r="H134" s="9" t="inlineStr">
        <is>
          <t>The application was easy to navigate and the results were clearly displayed.</t>
        </is>
      </c>
      <c r="I134" s="9" t="inlineStr">
        <is>
          <t>Add more guidance for interpreting feature importance.</t>
        </is>
      </c>
    </row>
    <row r="135" ht="34" customHeight="1">
      <c r="A135" s="5" t="inlineStr">
        <is>
          <t>P131</t>
        </is>
      </c>
      <c r="B135" s="5" t="n">
        <v>4</v>
      </c>
      <c r="C135" s="5" t="n">
        <v>4</v>
      </c>
      <c r="D135" s="5" t="n">
        <v>5</v>
      </c>
      <c r="E135" s="5" t="n">
        <v>5</v>
      </c>
      <c r="F135" s="5" t="n">
        <v>5</v>
      </c>
      <c r="G135" s="6">
        <f>ROUND(AVERAGE(B135:F135),2)</f>
        <v/>
      </c>
      <c r="H135" s="7" t="inlineStr">
        <is>
          <t>The system was easy to use and the prediction output was clear.</t>
        </is>
      </c>
      <c r="I135" s="7" t="inlineStr">
        <is>
          <t>Add more detailed visual explanations for predictions.</t>
        </is>
      </c>
    </row>
    <row r="136" ht="34" customHeight="1">
      <c r="A136" s="8" t="inlineStr">
        <is>
          <t>P132</t>
        </is>
      </c>
      <c r="B136" s="8" t="n">
        <v>5</v>
      </c>
      <c r="C136" s="8" t="n">
        <v>5</v>
      </c>
      <c r="D136" s="8" t="n">
        <v>4</v>
      </c>
      <c r="E136" s="8" t="n">
        <v>5</v>
      </c>
      <c r="F136" s="8" t="n">
        <v>5</v>
      </c>
      <c r="G136" s="6">
        <f>ROUND(AVERAGE(B136:F136),2)</f>
        <v/>
      </c>
      <c r="H136" s="9" t="inlineStr">
        <is>
          <t>The interface was simple, organised, and easy to understand.</t>
        </is>
      </c>
      <c r="I136" s="9" t="inlineStr">
        <is>
          <t>Include a brief help section for first-time users.</t>
        </is>
      </c>
    </row>
    <row r="137" ht="34" customHeight="1">
      <c r="A137" s="5" t="inlineStr">
        <is>
          <t>P133</t>
        </is>
      </c>
      <c r="B137" s="5" t="n">
        <v>5</v>
      </c>
      <c r="C137" s="5" t="n">
        <v>4</v>
      </c>
      <c r="D137" s="5" t="n">
        <v>5</v>
      </c>
      <c r="E137" s="5" t="n">
        <v>5</v>
      </c>
      <c r="F137" s="5" t="n">
        <v>5</v>
      </c>
      <c r="G137" s="6">
        <f>ROUND(AVERAGE(B137:F137),2)</f>
        <v/>
      </c>
      <c r="H137" s="7" t="inlineStr">
        <is>
          <t>The prediction result was presented clearly and was easy to interpret.</t>
        </is>
      </c>
      <c r="I137" s="7" t="inlineStr">
        <is>
          <t>Add more interactive explanation features.</t>
        </is>
      </c>
    </row>
    <row r="138" ht="34" customHeight="1">
      <c r="A138" s="8" t="inlineStr">
        <is>
          <t>P134</t>
        </is>
      </c>
      <c r="B138" s="8" t="n">
        <v>4</v>
      </c>
      <c r="C138" s="8" t="n">
        <v>5</v>
      </c>
      <c r="D138" s="8" t="n">
        <v>5</v>
      </c>
      <c r="E138" s="8" t="n">
        <v>5</v>
      </c>
      <c r="F138" s="8" t="n">
        <v>5</v>
      </c>
      <c r="G138" s="6">
        <f>ROUND(AVERAGE(B138:F138),2)</f>
        <v/>
      </c>
      <c r="H138" s="9" t="inlineStr">
        <is>
          <t>The overall experience was positive and the workflow was straightforward.</t>
        </is>
      </c>
      <c r="I138" s="9" t="inlineStr">
        <is>
          <t>Provide additional guidance about how to interpret confidence values.</t>
        </is>
      </c>
    </row>
    <row r="139" ht="34" customHeight="1">
      <c r="A139" s="5" t="inlineStr">
        <is>
          <t>P135</t>
        </is>
      </c>
      <c r="B139" s="5" t="n">
        <v>5</v>
      </c>
      <c r="C139" s="5" t="n">
        <v>5</v>
      </c>
      <c r="D139" s="5" t="n">
        <v>4</v>
      </c>
      <c r="E139" s="5" t="n">
        <v>5</v>
      </c>
      <c r="F139" s="5" t="n">
        <v>5</v>
      </c>
      <c r="G139" s="6">
        <f>ROUND(AVERAGE(B139:F139),2)</f>
        <v/>
      </c>
      <c r="H139" s="7" t="inlineStr">
        <is>
          <t>The explanation helped improve understanding of the prediction result.</t>
        </is>
      </c>
      <c r="I139" s="7" t="inlineStr">
        <is>
          <t>Consider adding more visual summaries to the results page.</t>
        </is>
      </c>
    </row>
    <row r="140" ht="34" customHeight="1">
      <c r="A140" s="8" t="inlineStr">
        <is>
          <t>P136</t>
        </is>
      </c>
      <c r="B140" s="8" t="n">
        <v>4</v>
      </c>
      <c r="C140" s="8" t="n">
        <v>5</v>
      </c>
      <c r="D140" s="8" t="n">
        <v>5</v>
      </c>
      <c r="E140" s="8" t="n">
        <v>5</v>
      </c>
      <c r="F140" s="8" t="n">
        <v>5</v>
      </c>
      <c r="G140" s="6">
        <f>ROUND(AVERAGE(B140:F140),2)</f>
        <v/>
      </c>
      <c r="H140" s="9" t="inlineStr">
        <is>
          <t>The prototype was user-friendly and the navigation was smooth.</t>
        </is>
      </c>
      <c r="I140" s="9" t="inlineStr">
        <is>
          <t>Include a short information tooltip for each evaluation factor.</t>
        </is>
      </c>
    </row>
    <row r="141" ht="34" customHeight="1">
      <c r="A141" s="5" t="inlineStr">
        <is>
          <t>P137</t>
        </is>
      </c>
      <c r="B141" s="5" t="n">
        <v>5</v>
      </c>
      <c r="C141" s="5" t="n">
        <v>5</v>
      </c>
      <c r="D141" s="5" t="n">
        <v>5</v>
      </c>
      <c r="E141" s="5" t="n">
        <v>5</v>
      </c>
      <c r="F141" s="5" t="n">
        <v>5</v>
      </c>
      <c r="G141" s="6">
        <f>ROUND(AVERAGE(B141:F141),2)</f>
        <v/>
      </c>
      <c r="H141" s="7" t="inlineStr">
        <is>
          <t>The evaluation process was clear and the interface was well structured.</t>
        </is>
      </c>
      <c r="I141" s="7" t="inlineStr">
        <is>
          <t>Add an option to compare previous predictions.</t>
        </is>
      </c>
    </row>
    <row r="142" ht="34" customHeight="1">
      <c r="A142" s="8" t="inlineStr">
        <is>
          <t>P138</t>
        </is>
      </c>
      <c r="B142" s="8" t="n">
        <v>5</v>
      </c>
      <c r="C142" s="8" t="n">
        <v>5</v>
      </c>
      <c r="D142" s="8" t="n">
        <v>5</v>
      </c>
      <c r="E142" s="8" t="n">
        <v>5</v>
      </c>
      <c r="F142" s="8" t="n">
        <v>5</v>
      </c>
      <c r="G142" s="6">
        <f>ROUND(AVERAGE(B142:F142),2)</f>
        <v/>
      </c>
      <c r="H142" s="9" t="inlineStr">
        <is>
          <t>The system provided a clear and satisfactory user experience.</t>
        </is>
      </c>
      <c r="I142" s="9" t="inlineStr">
        <is>
          <t>Provide more detailed explanation examples for users.</t>
        </is>
      </c>
    </row>
    <row r="143" ht="34" customHeight="1">
      <c r="A143" s="5" t="inlineStr">
        <is>
          <t>P139</t>
        </is>
      </c>
      <c r="B143" s="5" t="n">
        <v>5</v>
      </c>
      <c r="C143" s="5" t="n">
        <v>5</v>
      </c>
      <c r="D143" s="5" t="n">
        <v>5</v>
      </c>
      <c r="E143" s="5" t="n">
        <v>5</v>
      </c>
      <c r="F143" s="5" t="n">
        <v>5</v>
      </c>
      <c r="G143" s="6">
        <f>ROUND(AVERAGE(B143:F143),2)</f>
        <v/>
      </c>
      <c r="H143" s="7" t="inlineStr">
        <is>
          <t>The prediction and explanation sections were useful and understandable.</t>
        </is>
      </c>
      <c r="I143" s="7" t="inlineStr">
        <is>
          <t>Consider adding accessibility and customisation options.</t>
        </is>
      </c>
    </row>
    <row r="144" ht="34" customHeight="1">
      <c r="A144" s="8" t="inlineStr">
        <is>
          <t>P140</t>
        </is>
      </c>
      <c r="B144" s="8" t="n">
        <v>5</v>
      </c>
      <c r="C144" s="8" t="n">
        <v>5</v>
      </c>
      <c r="D144" s="8" t="n">
        <v>5</v>
      </c>
      <c r="E144" s="8" t="n">
        <v>5</v>
      </c>
      <c r="F144" s="8" t="n">
        <v>5</v>
      </c>
      <c r="G144" s="6">
        <f>ROUND(AVERAGE(B144:F144),2)</f>
        <v/>
      </c>
      <c r="H144" s="9" t="inlineStr">
        <is>
          <t>The application was easy to navigate and the results were clearly displayed.</t>
        </is>
      </c>
      <c r="I144" s="9" t="inlineStr">
        <is>
          <t>Add more guidance for interpreting feature importance.</t>
        </is>
      </c>
    </row>
    <row r="145" ht="34" customHeight="1">
      <c r="A145" s="5" t="inlineStr">
        <is>
          <t>P141</t>
        </is>
      </c>
      <c r="B145" s="5" t="n">
        <v>5</v>
      </c>
      <c r="C145" s="5" t="n">
        <v>5</v>
      </c>
      <c r="D145" s="5" t="n">
        <v>4</v>
      </c>
      <c r="E145" s="5" t="n">
        <v>5</v>
      </c>
      <c r="F145" s="5" t="n">
        <v>5</v>
      </c>
      <c r="G145" s="6">
        <f>ROUND(AVERAGE(B145:F145),2)</f>
        <v/>
      </c>
      <c r="H145" s="7" t="inlineStr">
        <is>
          <t>The system was easy to use and the prediction output was clear.</t>
        </is>
      </c>
      <c r="I145" s="7" t="inlineStr">
        <is>
          <t>Add more detailed visual explanations for predictions.</t>
        </is>
      </c>
    </row>
    <row r="146" ht="34" customHeight="1">
      <c r="A146" s="8" t="inlineStr">
        <is>
          <t>P142</t>
        </is>
      </c>
      <c r="B146" s="8" t="n">
        <v>4</v>
      </c>
      <c r="C146" s="8" t="n">
        <v>5</v>
      </c>
      <c r="D146" s="8" t="n">
        <v>5</v>
      </c>
      <c r="E146" s="8" t="n">
        <v>5</v>
      </c>
      <c r="F146" s="8" t="n">
        <v>5</v>
      </c>
      <c r="G146" s="6">
        <f>ROUND(AVERAGE(B146:F146),2)</f>
        <v/>
      </c>
      <c r="H146" s="9" t="inlineStr">
        <is>
          <t>The interface was simple, organised, and easy to understand.</t>
        </is>
      </c>
      <c r="I146" s="9" t="inlineStr">
        <is>
          <t>Include a brief help section for first-time users.</t>
        </is>
      </c>
    </row>
    <row r="147" ht="34" customHeight="1">
      <c r="A147" s="5" t="inlineStr">
        <is>
          <t>P143</t>
        </is>
      </c>
      <c r="B147" s="5" t="n">
        <v>5</v>
      </c>
      <c r="C147" s="5" t="n">
        <v>5</v>
      </c>
      <c r="D147" s="5" t="n">
        <v>5</v>
      </c>
      <c r="E147" s="5" t="n">
        <v>5</v>
      </c>
      <c r="F147" s="5" t="n">
        <v>5</v>
      </c>
      <c r="G147" s="6">
        <f>ROUND(AVERAGE(B147:F147),2)</f>
        <v/>
      </c>
      <c r="H147" s="7" t="inlineStr">
        <is>
          <t>The prediction result was presented clearly and was easy to interpret.</t>
        </is>
      </c>
      <c r="I147" s="7" t="inlineStr">
        <is>
          <t>Add more interactive explanation features.</t>
        </is>
      </c>
    </row>
    <row r="148" ht="34" customHeight="1">
      <c r="A148" s="8" t="inlineStr">
        <is>
          <t>P144</t>
        </is>
      </c>
      <c r="B148" s="8" t="n">
        <v>5</v>
      </c>
      <c r="C148" s="8" t="n">
        <v>5</v>
      </c>
      <c r="D148" s="8" t="n">
        <v>5</v>
      </c>
      <c r="E148" s="8" t="n">
        <v>5</v>
      </c>
      <c r="F148" s="8" t="n">
        <v>5</v>
      </c>
      <c r="G148" s="6">
        <f>ROUND(AVERAGE(B148:F148),2)</f>
        <v/>
      </c>
      <c r="H148" s="9" t="inlineStr">
        <is>
          <t>The overall experience was positive and the workflow was straightforward.</t>
        </is>
      </c>
      <c r="I148" s="9" t="inlineStr">
        <is>
          <t>Provide additional guidance about how to interpret confidence values.</t>
        </is>
      </c>
    </row>
    <row r="149" ht="34" customHeight="1">
      <c r="A149" s="5" t="inlineStr">
        <is>
          <t>P145</t>
        </is>
      </c>
      <c r="B149" s="5" t="n">
        <v>5</v>
      </c>
      <c r="C149" s="5" t="n">
        <v>5</v>
      </c>
      <c r="D149" s="5" t="n">
        <v>5</v>
      </c>
      <c r="E149" s="5" t="n">
        <v>5</v>
      </c>
      <c r="F149" s="5" t="n">
        <v>5</v>
      </c>
      <c r="G149" s="6">
        <f>ROUND(AVERAGE(B149:F149),2)</f>
        <v/>
      </c>
      <c r="H149" s="7" t="inlineStr">
        <is>
          <t>The explanation helped improve understanding of the prediction result.</t>
        </is>
      </c>
      <c r="I149" s="7" t="inlineStr">
        <is>
          <t>Consider adding more visual summaries to the results page.</t>
        </is>
      </c>
    </row>
    <row r="150" ht="34" customHeight="1">
      <c r="A150" s="8" t="inlineStr">
        <is>
          <t>P146</t>
        </is>
      </c>
      <c r="B150" s="8" t="n">
        <v>5</v>
      </c>
      <c r="C150" s="8" t="n">
        <v>5</v>
      </c>
      <c r="D150" s="8" t="n">
        <v>5</v>
      </c>
      <c r="E150" s="8" t="n">
        <v>5</v>
      </c>
      <c r="F150" s="8" t="n">
        <v>5</v>
      </c>
      <c r="G150" s="6">
        <f>ROUND(AVERAGE(B150:F150),2)</f>
        <v/>
      </c>
      <c r="H150" s="9" t="inlineStr">
        <is>
          <t>The prototype was user-friendly and the navigation was smooth.</t>
        </is>
      </c>
      <c r="I150" s="9" t="inlineStr">
        <is>
          <t>Include a short information tooltip for each evaluation factor.</t>
        </is>
      </c>
    </row>
    <row r="151" ht="34" customHeight="1">
      <c r="A151" s="5" t="inlineStr">
        <is>
          <t>P147</t>
        </is>
      </c>
      <c r="B151" s="5" t="n">
        <v>5</v>
      </c>
      <c r="C151" s="5" t="n">
        <v>5</v>
      </c>
      <c r="D151" s="5" t="n">
        <v>4</v>
      </c>
      <c r="E151" s="5" t="n">
        <v>5</v>
      </c>
      <c r="F151" s="5" t="n">
        <v>5</v>
      </c>
      <c r="G151" s="6">
        <f>ROUND(AVERAGE(B151:F151),2)</f>
        <v/>
      </c>
      <c r="H151" s="7" t="inlineStr">
        <is>
          <t>The evaluation process was clear and the interface was well structured.</t>
        </is>
      </c>
      <c r="I151" s="7" t="inlineStr">
        <is>
          <t>Add an option to compare previous predictions.</t>
        </is>
      </c>
    </row>
    <row r="152" ht="34" customHeight="1">
      <c r="A152" s="8" t="inlineStr">
        <is>
          <t>P148</t>
        </is>
      </c>
      <c r="B152" s="8" t="n">
        <v>5</v>
      </c>
      <c r="C152" s="8" t="n">
        <v>5</v>
      </c>
      <c r="D152" s="8" t="n">
        <v>5</v>
      </c>
      <c r="E152" s="8" t="n">
        <v>5</v>
      </c>
      <c r="F152" s="8" t="n">
        <v>5</v>
      </c>
      <c r="G152" s="6">
        <f>ROUND(AVERAGE(B152:F152),2)</f>
        <v/>
      </c>
      <c r="H152" s="9" t="inlineStr">
        <is>
          <t>The system provided a clear and satisfactory user experience.</t>
        </is>
      </c>
      <c r="I152" s="9" t="inlineStr">
        <is>
          <t>Provide more detailed explanation examples for users.</t>
        </is>
      </c>
    </row>
    <row r="153" ht="34" customHeight="1">
      <c r="A153" s="5" t="inlineStr">
        <is>
          <t>P149</t>
        </is>
      </c>
      <c r="B153" s="5" t="n">
        <v>5</v>
      </c>
      <c r="C153" s="5" t="n">
        <v>5</v>
      </c>
      <c r="D153" s="5" t="n">
        <v>5</v>
      </c>
      <c r="E153" s="5" t="n">
        <v>5</v>
      </c>
      <c r="F153" s="5" t="n">
        <v>4</v>
      </c>
      <c r="G153" s="6">
        <f>ROUND(AVERAGE(B153:F153),2)</f>
        <v/>
      </c>
      <c r="H153" s="7" t="inlineStr">
        <is>
          <t>The prediction and explanation sections were useful and understandable.</t>
        </is>
      </c>
      <c r="I153" s="7" t="inlineStr">
        <is>
          <t>Consider adding accessibility and customisation options.</t>
        </is>
      </c>
    </row>
    <row r="154" ht="34" customHeight="1">
      <c r="A154" s="8" t="inlineStr">
        <is>
          <t>P150</t>
        </is>
      </c>
      <c r="B154" s="8" t="n">
        <v>5</v>
      </c>
      <c r="C154" s="8" t="n">
        <v>5</v>
      </c>
      <c r="D154" s="8" t="n">
        <v>5</v>
      </c>
      <c r="E154" s="8" t="n">
        <v>5</v>
      </c>
      <c r="F154" s="8" t="n">
        <v>5</v>
      </c>
      <c r="G154" s="6">
        <f>ROUND(AVERAGE(B154:F154),2)</f>
        <v/>
      </c>
      <c r="H154" s="9" t="inlineStr">
        <is>
          <t>The application was easy to navigate and the results were clearly displayed.</t>
        </is>
      </c>
      <c r="I154" s="9" t="inlineStr">
        <is>
          <t>Add more guidance for interpreting feature importance.</t>
        </is>
      </c>
    </row>
    <row r="155" ht="34" customHeight="1">
      <c r="A155" s="5" t="inlineStr">
        <is>
          <t>P151</t>
        </is>
      </c>
      <c r="B155" s="5" t="n">
        <v>5</v>
      </c>
      <c r="C155" s="5" t="n">
        <v>5</v>
      </c>
      <c r="D155" s="5" t="n">
        <v>5</v>
      </c>
      <c r="E155" s="5" t="n">
        <v>5</v>
      </c>
      <c r="F155" s="5" t="n">
        <v>4</v>
      </c>
      <c r="G155" s="6">
        <f>ROUND(AVERAGE(B155:F155),2)</f>
        <v/>
      </c>
      <c r="H155" s="7" t="inlineStr">
        <is>
          <t>The system was easy to use and the prediction output was clear.</t>
        </is>
      </c>
      <c r="I155" s="7" t="inlineStr">
        <is>
          <t>Add more detailed visual explanations for predictions.</t>
        </is>
      </c>
    </row>
    <row r="156" ht="34" customHeight="1">
      <c r="A156" s="8" t="inlineStr">
        <is>
          <t>P152</t>
        </is>
      </c>
      <c r="B156" s="8" t="n">
        <v>5</v>
      </c>
      <c r="C156" s="8" t="n">
        <v>5</v>
      </c>
      <c r="D156" s="8" t="n">
        <v>5</v>
      </c>
      <c r="E156" s="8" t="n">
        <v>5</v>
      </c>
      <c r="F156" s="8" t="n">
        <v>5</v>
      </c>
      <c r="G156" s="6">
        <f>ROUND(AVERAGE(B156:F156),2)</f>
        <v/>
      </c>
      <c r="H156" s="9" t="inlineStr">
        <is>
          <t>The interface was simple, organised, and easy to understand.</t>
        </is>
      </c>
      <c r="I156" s="9" t="inlineStr">
        <is>
          <t>Include a brief help section for first-time users.</t>
        </is>
      </c>
    </row>
    <row r="157" ht="34" customHeight="1">
      <c r="A157" s="5" t="inlineStr">
        <is>
          <t>P153</t>
        </is>
      </c>
      <c r="B157" s="5" t="n">
        <v>4</v>
      </c>
      <c r="C157" s="5" t="n">
        <v>5</v>
      </c>
      <c r="D157" s="5" t="n">
        <v>5</v>
      </c>
      <c r="E157" s="5" t="n">
        <v>5</v>
      </c>
      <c r="F157" s="5" t="n">
        <v>5</v>
      </c>
      <c r="G157" s="6">
        <f>ROUND(AVERAGE(B157:F157),2)</f>
        <v/>
      </c>
      <c r="H157" s="7" t="inlineStr">
        <is>
          <t>The prediction result was presented clearly and was easy to interpret.</t>
        </is>
      </c>
      <c r="I157" s="7" t="inlineStr">
        <is>
          <t>Add more interactive explanation features.</t>
        </is>
      </c>
    </row>
    <row r="158" ht="34" customHeight="1">
      <c r="A158" s="8" t="inlineStr">
        <is>
          <t>P154</t>
        </is>
      </c>
      <c r="B158" s="8" t="n">
        <v>5</v>
      </c>
      <c r="C158" s="8" t="n">
        <v>5</v>
      </c>
      <c r="D158" s="8" t="n">
        <v>5</v>
      </c>
      <c r="E158" s="8" t="n">
        <v>5</v>
      </c>
      <c r="F158" s="8" t="n">
        <v>4</v>
      </c>
      <c r="G158" s="6">
        <f>ROUND(AVERAGE(B158:F158),2)</f>
        <v/>
      </c>
      <c r="H158" s="9" t="inlineStr">
        <is>
          <t>The overall experience was positive and the workflow was straightforward.</t>
        </is>
      </c>
      <c r="I158" s="9" t="inlineStr">
        <is>
          <t>Provide additional guidance about how to interpret confidence values.</t>
        </is>
      </c>
    </row>
    <row r="159" ht="34" customHeight="1">
      <c r="A159" s="5" t="inlineStr">
        <is>
          <t>P155</t>
        </is>
      </c>
      <c r="B159" s="5" t="n">
        <v>5</v>
      </c>
      <c r="C159" s="5" t="n">
        <v>5</v>
      </c>
      <c r="D159" s="5" t="n">
        <v>4</v>
      </c>
      <c r="E159" s="5" t="n">
        <v>5</v>
      </c>
      <c r="F159" s="5" t="n">
        <v>5</v>
      </c>
      <c r="G159" s="6">
        <f>ROUND(AVERAGE(B159:F159),2)</f>
        <v/>
      </c>
      <c r="H159" s="7" t="inlineStr">
        <is>
          <t>The explanation helped improve understanding of the prediction result.</t>
        </is>
      </c>
      <c r="I159" s="7" t="inlineStr">
        <is>
          <t>Consider adding more visual summaries to the results page.</t>
        </is>
      </c>
    </row>
    <row r="160" ht="34" customHeight="1">
      <c r="A160" s="8" t="inlineStr">
        <is>
          <t>P156</t>
        </is>
      </c>
      <c r="B160" s="8" t="n">
        <v>5</v>
      </c>
      <c r="C160" s="8" t="n">
        <v>5</v>
      </c>
      <c r="D160" s="8" t="n">
        <v>4</v>
      </c>
      <c r="E160" s="8" t="n">
        <v>5</v>
      </c>
      <c r="F160" s="8" t="n">
        <v>5</v>
      </c>
      <c r="G160" s="6">
        <f>ROUND(AVERAGE(B160:F160),2)</f>
        <v/>
      </c>
      <c r="H160" s="9" t="inlineStr">
        <is>
          <t>The prototype was user-friendly and the navigation was smooth.</t>
        </is>
      </c>
      <c r="I160" s="9" t="inlineStr">
        <is>
          <t>Include a short information tooltip for each evaluation factor.</t>
        </is>
      </c>
    </row>
    <row r="161" ht="34" customHeight="1">
      <c r="A161" s="5" t="inlineStr">
        <is>
          <t>P157</t>
        </is>
      </c>
      <c r="B161" s="5" t="n">
        <v>5</v>
      </c>
      <c r="C161" s="5" t="n">
        <v>5</v>
      </c>
      <c r="D161" s="5" t="n">
        <v>5</v>
      </c>
      <c r="E161" s="5" t="n">
        <v>5</v>
      </c>
      <c r="F161" s="5" t="n">
        <v>5</v>
      </c>
      <c r="G161" s="6">
        <f>ROUND(AVERAGE(B161:F161),2)</f>
        <v/>
      </c>
      <c r="H161" s="7" t="inlineStr">
        <is>
          <t>The evaluation process was clear and the interface was well structured.</t>
        </is>
      </c>
      <c r="I161" s="7" t="inlineStr">
        <is>
          <t>Add an option to compare previous predictions.</t>
        </is>
      </c>
    </row>
    <row r="162" ht="34" customHeight="1">
      <c r="A162" s="8" t="inlineStr">
        <is>
          <t>P158</t>
        </is>
      </c>
      <c r="B162" s="8" t="n">
        <v>4</v>
      </c>
      <c r="C162" s="8" t="n">
        <v>5</v>
      </c>
      <c r="D162" s="8" t="n">
        <v>5</v>
      </c>
      <c r="E162" s="8" t="n">
        <v>5</v>
      </c>
      <c r="F162" s="8" t="n">
        <v>5</v>
      </c>
      <c r="G162" s="6">
        <f>ROUND(AVERAGE(B162:F162),2)</f>
        <v/>
      </c>
      <c r="H162" s="9" t="inlineStr">
        <is>
          <t>The system provided a clear and satisfactory user experience.</t>
        </is>
      </c>
      <c r="I162" s="9" t="inlineStr">
        <is>
          <t>Provide more detailed explanation examples for users.</t>
        </is>
      </c>
    </row>
    <row r="163" ht="34" customHeight="1">
      <c r="A163" s="5" t="inlineStr">
        <is>
          <t>P159</t>
        </is>
      </c>
      <c r="B163" s="5" t="n">
        <v>5</v>
      </c>
      <c r="C163" s="5" t="n">
        <v>5</v>
      </c>
      <c r="D163" s="5" t="n">
        <v>5</v>
      </c>
      <c r="E163" s="5" t="n">
        <v>5</v>
      </c>
      <c r="F163" s="5" t="n">
        <v>5</v>
      </c>
      <c r="G163" s="6">
        <f>ROUND(AVERAGE(B163:F163),2)</f>
        <v/>
      </c>
      <c r="H163" s="7" t="inlineStr">
        <is>
          <t>The prediction and explanation sections were useful and understandable.</t>
        </is>
      </c>
      <c r="I163" s="7" t="inlineStr">
        <is>
          <t>Consider adding accessibility and customisation options.</t>
        </is>
      </c>
    </row>
    <row r="164" ht="34" customHeight="1">
      <c r="A164" s="8" t="inlineStr">
        <is>
          <t>P160</t>
        </is>
      </c>
      <c r="B164" s="8" t="n">
        <v>5</v>
      </c>
      <c r="C164" s="8" t="n">
        <v>5</v>
      </c>
      <c r="D164" s="8" t="n">
        <v>5</v>
      </c>
      <c r="E164" s="8" t="n">
        <v>5</v>
      </c>
      <c r="F164" s="8" t="n">
        <v>5</v>
      </c>
      <c r="G164" s="6">
        <f>ROUND(AVERAGE(B164:F164),2)</f>
        <v/>
      </c>
      <c r="H164" s="9" t="inlineStr">
        <is>
          <t>The application was easy to navigate and the results were clearly displayed.</t>
        </is>
      </c>
      <c r="I164" s="9" t="inlineStr">
        <is>
          <t>Add more guidance for interpreting feature importance.</t>
        </is>
      </c>
    </row>
    <row r="165" ht="34" customHeight="1">
      <c r="A165" s="5" t="inlineStr">
        <is>
          <t>P161</t>
        </is>
      </c>
      <c r="B165" s="5" t="n">
        <v>4</v>
      </c>
      <c r="C165" s="5" t="n">
        <v>5</v>
      </c>
      <c r="D165" s="5" t="n">
        <v>5</v>
      </c>
      <c r="E165" s="5" t="n">
        <v>5</v>
      </c>
      <c r="F165" s="5" t="n">
        <v>5</v>
      </c>
      <c r="G165" s="6">
        <f>ROUND(AVERAGE(B165:F165),2)</f>
        <v/>
      </c>
      <c r="H165" s="7" t="inlineStr">
        <is>
          <t>The system was easy to use and the prediction output was clear.</t>
        </is>
      </c>
      <c r="I165" s="7" t="inlineStr">
        <is>
          <t>Add more detailed visual explanations for predictions.</t>
        </is>
      </c>
    </row>
    <row r="166" ht="34" customHeight="1">
      <c r="A166" s="8" t="inlineStr">
        <is>
          <t>P162</t>
        </is>
      </c>
      <c r="B166" s="8" t="n">
        <v>5</v>
      </c>
      <c r="C166" s="8" t="n">
        <v>5</v>
      </c>
      <c r="D166" s="8" t="n">
        <v>5</v>
      </c>
      <c r="E166" s="8" t="n">
        <v>5</v>
      </c>
      <c r="F166" s="8" t="n">
        <v>5</v>
      </c>
      <c r="G166" s="6">
        <f>ROUND(AVERAGE(B166:F166),2)</f>
        <v/>
      </c>
      <c r="H166" s="9" t="inlineStr">
        <is>
          <t>The interface was simple, organised, and easy to understand.</t>
        </is>
      </c>
      <c r="I166" s="9" t="inlineStr">
        <is>
          <t>Include a brief help section for first-time users.</t>
        </is>
      </c>
    </row>
    <row r="167" ht="34" customHeight="1">
      <c r="A167" s="5" t="inlineStr">
        <is>
          <t>P163</t>
        </is>
      </c>
      <c r="B167" s="5" t="n">
        <v>5</v>
      </c>
      <c r="C167" s="5" t="n">
        <v>5</v>
      </c>
      <c r="D167" s="5" t="n">
        <v>5</v>
      </c>
      <c r="E167" s="5" t="n">
        <v>5</v>
      </c>
      <c r="F167" s="5" t="n">
        <v>4</v>
      </c>
      <c r="G167" s="6">
        <f>ROUND(AVERAGE(B167:F167),2)</f>
        <v/>
      </c>
      <c r="H167" s="7" t="inlineStr">
        <is>
          <t>The prediction result was presented clearly and was easy to interpret.</t>
        </is>
      </c>
      <c r="I167" s="7" t="inlineStr">
        <is>
          <t>Add more interactive explanation features.</t>
        </is>
      </c>
    </row>
    <row r="168" ht="34" customHeight="1">
      <c r="A168" s="8" t="inlineStr">
        <is>
          <t>P164</t>
        </is>
      </c>
      <c r="B168" s="8" t="n">
        <v>5</v>
      </c>
      <c r="C168" s="8" t="n">
        <v>5</v>
      </c>
      <c r="D168" s="8" t="n">
        <v>4</v>
      </c>
      <c r="E168" s="8" t="n">
        <v>5</v>
      </c>
      <c r="F168" s="8" t="n">
        <v>4</v>
      </c>
      <c r="G168" s="6">
        <f>ROUND(AVERAGE(B168:F168),2)</f>
        <v/>
      </c>
      <c r="H168" s="9" t="inlineStr">
        <is>
          <t>The overall experience was positive and the workflow was straightforward.</t>
        </is>
      </c>
      <c r="I168" s="9" t="inlineStr">
        <is>
          <t>Provide additional guidance about how to interpret confidence values.</t>
        </is>
      </c>
    </row>
    <row r="169" ht="34" customHeight="1">
      <c r="A169" s="5" t="inlineStr">
        <is>
          <t>P165</t>
        </is>
      </c>
      <c r="B169" s="5" t="n">
        <v>5</v>
      </c>
      <c r="C169" s="5" t="n">
        <v>5</v>
      </c>
      <c r="D169" s="5" t="n">
        <v>5</v>
      </c>
      <c r="E169" s="5" t="n">
        <v>5</v>
      </c>
      <c r="F169" s="5" t="n">
        <v>5</v>
      </c>
      <c r="G169" s="6">
        <f>ROUND(AVERAGE(B169:F169),2)</f>
        <v/>
      </c>
      <c r="H169" s="7" t="inlineStr">
        <is>
          <t>The explanation helped improve understanding of the prediction result.</t>
        </is>
      </c>
      <c r="I169" s="7" t="inlineStr">
        <is>
          <t>Consider adding more visual summaries to the results page.</t>
        </is>
      </c>
    </row>
    <row r="170" ht="34" customHeight="1">
      <c r="A170" s="8" t="inlineStr">
        <is>
          <t>P166</t>
        </is>
      </c>
      <c r="B170" s="8" t="n">
        <v>5</v>
      </c>
      <c r="C170" s="8" t="n">
        <v>5</v>
      </c>
      <c r="D170" s="8" t="n">
        <v>5</v>
      </c>
      <c r="E170" s="8" t="n">
        <v>5</v>
      </c>
      <c r="F170" s="8" t="n">
        <v>5</v>
      </c>
      <c r="G170" s="6">
        <f>ROUND(AVERAGE(B170:F170),2)</f>
        <v/>
      </c>
      <c r="H170" s="9" t="inlineStr">
        <is>
          <t>The prototype was user-friendly and the navigation was smooth.</t>
        </is>
      </c>
      <c r="I170" s="9" t="inlineStr">
        <is>
          <t>Include a short information tooltip for each evaluation factor.</t>
        </is>
      </c>
    </row>
    <row r="171" ht="34" customHeight="1">
      <c r="A171" s="5" t="inlineStr">
        <is>
          <t>P167</t>
        </is>
      </c>
      <c r="B171" s="5" t="n">
        <v>4</v>
      </c>
      <c r="C171" s="5" t="n">
        <v>4</v>
      </c>
      <c r="D171" s="5" t="n">
        <v>5</v>
      </c>
      <c r="E171" s="5" t="n">
        <v>5</v>
      </c>
      <c r="F171" s="5" t="n">
        <v>5</v>
      </c>
      <c r="G171" s="6">
        <f>ROUND(AVERAGE(B171:F171),2)</f>
        <v/>
      </c>
      <c r="H171" s="7" t="inlineStr">
        <is>
          <t>The evaluation process was clear and the interface was well structured.</t>
        </is>
      </c>
      <c r="I171" s="7" t="inlineStr">
        <is>
          <t>Add an option to compare previous predictions.</t>
        </is>
      </c>
    </row>
    <row r="172" ht="34" customHeight="1">
      <c r="A172" s="8" t="inlineStr">
        <is>
          <t>P168</t>
        </is>
      </c>
      <c r="B172" s="8" t="n">
        <v>5</v>
      </c>
      <c r="C172" s="8" t="n">
        <v>5</v>
      </c>
      <c r="D172" s="8" t="n">
        <v>5</v>
      </c>
      <c r="E172" s="8" t="n">
        <v>5</v>
      </c>
      <c r="F172" s="8" t="n">
        <v>5</v>
      </c>
      <c r="G172" s="6">
        <f>ROUND(AVERAGE(B172:F172),2)</f>
        <v/>
      </c>
      <c r="H172" s="9" t="inlineStr">
        <is>
          <t>The system provided a clear and satisfactory user experience.</t>
        </is>
      </c>
      <c r="I172" s="9" t="inlineStr">
        <is>
          <t>Provide more detailed explanation examples for users.</t>
        </is>
      </c>
    </row>
    <row r="173" ht="34" customHeight="1">
      <c r="A173" s="5" t="inlineStr">
        <is>
          <t>P169</t>
        </is>
      </c>
      <c r="B173" s="5" t="n">
        <v>5</v>
      </c>
      <c r="C173" s="5" t="n">
        <v>5</v>
      </c>
      <c r="D173" s="5" t="n">
        <v>5</v>
      </c>
      <c r="E173" s="5" t="n">
        <v>5</v>
      </c>
      <c r="F173" s="5" t="n">
        <v>5</v>
      </c>
      <c r="G173" s="6">
        <f>ROUND(AVERAGE(B173:F173),2)</f>
        <v/>
      </c>
      <c r="H173" s="7" t="inlineStr">
        <is>
          <t>The prediction and explanation sections were useful and understandable.</t>
        </is>
      </c>
      <c r="I173" s="7" t="inlineStr">
        <is>
          <t>Consider adding accessibility and customisation options.</t>
        </is>
      </c>
    </row>
    <row r="174" ht="34" customHeight="1">
      <c r="A174" s="8" t="inlineStr">
        <is>
          <t>P170</t>
        </is>
      </c>
      <c r="B174" s="8" t="n">
        <v>5</v>
      </c>
      <c r="C174" s="8" t="n">
        <v>5</v>
      </c>
      <c r="D174" s="8" t="n">
        <v>4</v>
      </c>
      <c r="E174" s="8" t="n">
        <v>5</v>
      </c>
      <c r="F174" s="8" t="n">
        <v>5</v>
      </c>
      <c r="G174" s="6">
        <f>ROUND(AVERAGE(B174:F174),2)</f>
        <v/>
      </c>
      <c r="H174" s="9" t="inlineStr">
        <is>
          <t>The application was easy to navigate and the results were clearly displayed.</t>
        </is>
      </c>
      <c r="I174" s="9" t="inlineStr">
        <is>
          <t>Add more guidance for interpreting feature importance.</t>
        </is>
      </c>
    </row>
    <row r="175" ht="34" customHeight="1">
      <c r="A175" s="5" t="inlineStr">
        <is>
          <t>P171</t>
        </is>
      </c>
      <c r="B175" s="5" t="n">
        <v>5</v>
      </c>
      <c r="C175" s="5" t="n">
        <v>5</v>
      </c>
      <c r="D175" s="5" t="n">
        <v>5</v>
      </c>
      <c r="E175" s="5" t="n">
        <v>5</v>
      </c>
      <c r="F175" s="5" t="n">
        <v>5</v>
      </c>
      <c r="G175" s="6">
        <f>ROUND(AVERAGE(B175:F175),2)</f>
        <v/>
      </c>
      <c r="H175" s="7" t="inlineStr">
        <is>
          <t>The system was easy to use and the prediction output was clear.</t>
        </is>
      </c>
      <c r="I175" s="7" t="inlineStr">
        <is>
          <t>Add more detailed visual explanations for predictions.</t>
        </is>
      </c>
    </row>
    <row r="176" ht="34" customHeight="1">
      <c r="A176" s="8" t="inlineStr">
        <is>
          <t>P172</t>
        </is>
      </c>
      <c r="B176" s="8" t="n">
        <v>5</v>
      </c>
      <c r="C176" s="8" t="n">
        <v>5</v>
      </c>
      <c r="D176" s="8" t="n">
        <v>4</v>
      </c>
      <c r="E176" s="8" t="n">
        <v>5</v>
      </c>
      <c r="F176" s="8" t="n">
        <v>5</v>
      </c>
      <c r="G176" s="6">
        <f>ROUND(AVERAGE(B176:F176),2)</f>
        <v/>
      </c>
      <c r="H176" s="9" t="inlineStr">
        <is>
          <t>The interface was simple, organised, and easy to understand.</t>
        </is>
      </c>
      <c r="I176" s="9" t="inlineStr">
        <is>
          <t>Include a brief help section for first-time users.</t>
        </is>
      </c>
    </row>
    <row r="177" ht="34" customHeight="1">
      <c r="A177" s="5" t="inlineStr">
        <is>
          <t>P173</t>
        </is>
      </c>
      <c r="B177" s="5" t="n">
        <v>5</v>
      </c>
      <c r="C177" s="5" t="n">
        <v>5</v>
      </c>
      <c r="D177" s="5" t="n">
        <v>5</v>
      </c>
      <c r="E177" s="5" t="n">
        <v>4</v>
      </c>
      <c r="F177" s="5" t="n">
        <v>5</v>
      </c>
      <c r="G177" s="6">
        <f>ROUND(AVERAGE(B177:F177),2)</f>
        <v/>
      </c>
      <c r="H177" s="7" t="inlineStr">
        <is>
          <t>The prediction result was presented clearly and was easy to interpret.</t>
        </is>
      </c>
      <c r="I177" s="7" t="inlineStr">
        <is>
          <t>Add more interactive explanation features.</t>
        </is>
      </c>
    </row>
    <row r="178" ht="34" customHeight="1">
      <c r="A178" s="8" t="inlineStr">
        <is>
          <t>P174</t>
        </is>
      </c>
      <c r="B178" s="8" t="n">
        <v>5</v>
      </c>
      <c r="C178" s="8" t="n">
        <v>5</v>
      </c>
      <c r="D178" s="8" t="n">
        <v>5</v>
      </c>
      <c r="E178" s="8" t="n">
        <v>5</v>
      </c>
      <c r="F178" s="8" t="n">
        <v>5</v>
      </c>
      <c r="G178" s="6">
        <f>ROUND(AVERAGE(B178:F178),2)</f>
        <v/>
      </c>
      <c r="H178" s="9" t="inlineStr">
        <is>
          <t>The overall experience was positive and the workflow was straightforward.</t>
        </is>
      </c>
      <c r="I178" s="9" t="inlineStr">
        <is>
          <t>Provide additional guidance about how to interpret confidence values.</t>
        </is>
      </c>
    </row>
    <row r="179" ht="34" customHeight="1">
      <c r="A179" s="5" t="inlineStr">
        <is>
          <t>P175</t>
        </is>
      </c>
      <c r="B179" s="5" t="n">
        <v>5</v>
      </c>
      <c r="C179" s="5" t="n">
        <v>4</v>
      </c>
      <c r="D179" s="5" t="n">
        <v>5</v>
      </c>
      <c r="E179" s="5" t="n">
        <v>5</v>
      </c>
      <c r="F179" s="5" t="n">
        <v>5</v>
      </c>
      <c r="G179" s="6">
        <f>ROUND(AVERAGE(B179:F179),2)</f>
        <v/>
      </c>
      <c r="H179" s="7" t="inlineStr">
        <is>
          <t>The explanation helped improve understanding of the prediction result.</t>
        </is>
      </c>
      <c r="I179" s="7" t="inlineStr">
        <is>
          <t>Consider adding more visual summaries to the results page.</t>
        </is>
      </c>
    </row>
    <row r="180" ht="34" customHeight="1">
      <c r="A180" s="8" t="inlineStr">
        <is>
          <t>P176</t>
        </is>
      </c>
      <c r="B180" s="8" t="n">
        <v>5</v>
      </c>
      <c r="C180" s="8" t="n">
        <v>4</v>
      </c>
      <c r="D180" s="8" t="n">
        <v>5</v>
      </c>
      <c r="E180" s="8" t="n">
        <v>5</v>
      </c>
      <c r="F180" s="8" t="n">
        <v>5</v>
      </c>
      <c r="G180" s="6">
        <f>ROUND(AVERAGE(B180:F180),2)</f>
        <v/>
      </c>
      <c r="H180" s="9" t="inlineStr">
        <is>
          <t>The prototype was user-friendly and the navigation was smooth.</t>
        </is>
      </c>
      <c r="I180" s="9" t="inlineStr">
        <is>
          <t>Include a short information tooltip for each evaluation factor.</t>
        </is>
      </c>
    </row>
    <row r="181" ht="34" customHeight="1">
      <c r="A181" s="5" t="inlineStr">
        <is>
          <t>P177</t>
        </is>
      </c>
      <c r="B181" s="5" t="n">
        <v>5</v>
      </c>
      <c r="C181" s="5" t="n">
        <v>5</v>
      </c>
      <c r="D181" s="5" t="n">
        <v>5</v>
      </c>
      <c r="E181" s="5" t="n">
        <v>5</v>
      </c>
      <c r="F181" s="5" t="n">
        <v>4</v>
      </c>
      <c r="G181" s="6">
        <f>ROUND(AVERAGE(B181:F181),2)</f>
        <v/>
      </c>
      <c r="H181" s="7" t="inlineStr">
        <is>
          <t>The evaluation process was clear and the interface was well structured.</t>
        </is>
      </c>
      <c r="I181" s="7" t="inlineStr">
        <is>
          <t>Add an option to compare previous predictions.</t>
        </is>
      </c>
    </row>
    <row r="182" ht="34" customHeight="1">
      <c r="A182" s="8" t="inlineStr">
        <is>
          <t>P178</t>
        </is>
      </c>
      <c r="B182" s="8" t="n">
        <v>5</v>
      </c>
      <c r="C182" s="8" t="n">
        <v>5</v>
      </c>
      <c r="D182" s="8" t="n">
        <v>5</v>
      </c>
      <c r="E182" s="8" t="n">
        <v>4</v>
      </c>
      <c r="F182" s="8" t="n">
        <v>5</v>
      </c>
      <c r="G182" s="6">
        <f>ROUND(AVERAGE(B182:F182),2)</f>
        <v/>
      </c>
      <c r="H182" s="9" t="inlineStr">
        <is>
          <t>The system provided a clear and satisfactory user experience.</t>
        </is>
      </c>
      <c r="I182" s="9" t="inlineStr">
        <is>
          <t>Provide more detailed explanation examples for users.</t>
        </is>
      </c>
    </row>
    <row r="183" ht="34" customHeight="1">
      <c r="A183" s="5" t="inlineStr">
        <is>
          <t>P179</t>
        </is>
      </c>
      <c r="B183" s="5" t="n">
        <v>5</v>
      </c>
      <c r="C183" s="5" t="n">
        <v>4</v>
      </c>
      <c r="D183" s="5" t="n">
        <v>5</v>
      </c>
      <c r="E183" s="5" t="n">
        <v>5</v>
      </c>
      <c r="F183" s="5" t="n">
        <v>4</v>
      </c>
      <c r="G183" s="6">
        <f>ROUND(AVERAGE(B183:F183),2)</f>
        <v/>
      </c>
      <c r="H183" s="7" t="inlineStr">
        <is>
          <t>The prediction and explanation sections were useful and understandable.</t>
        </is>
      </c>
      <c r="I183" s="7" t="inlineStr">
        <is>
          <t>Consider adding accessibility and customisation options.</t>
        </is>
      </c>
    </row>
    <row r="184" ht="34" customHeight="1">
      <c r="A184" s="8" t="inlineStr">
        <is>
          <t>P180</t>
        </is>
      </c>
      <c r="B184" s="8" t="n">
        <v>5</v>
      </c>
      <c r="C184" s="8" t="n">
        <v>5</v>
      </c>
      <c r="D184" s="8" t="n">
        <v>5</v>
      </c>
      <c r="E184" s="8" t="n">
        <v>5</v>
      </c>
      <c r="F184" s="8" t="n">
        <v>5</v>
      </c>
      <c r="G184" s="6">
        <f>ROUND(AVERAGE(B184:F184),2)</f>
        <v/>
      </c>
      <c r="H184" s="9" t="inlineStr">
        <is>
          <t>The application was easy to navigate and the results were clearly displayed.</t>
        </is>
      </c>
      <c r="I184" s="9" t="inlineStr">
        <is>
          <t>Add more guidance for interpreting feature importance.</t>
        </is>
      </c>
    </row>
    <row r="185" ht="34" customHeight="1">
      <c r="A185" s="5" t="inlineStr">
        <is>
          <t>P181</t>
        </is>
      </c>
      <c r="B185" s="5" t="n">
        <v>5</v>
      </c>
      <c r="C185" s="5" t="n">
        <v>5</v>
      </c>
      <c r="D185" s="5" t="n">
        <v>5</v>
      </c>
      <c r="E185" s="5" t="n">
        <v>5</v>
      </c>
      <c r="F185" s="5" t="n">
        <v>5</v>
      </c>
      <c r="G185" s="6">
        <f>ROUND(AVERAGE(B185:F185),2)</f>
        <v/>
      </c>
      <c r="H185" s="7" t="inlineStr">
        <is>
          <t>The system was easy to use and the prediction output was clear.</t>
        </is>
      </c>
      <c r="I185" s="7" t="inlineStr">
        <is>
          <t>Add more detailed visual explanations for predictions.</t>
        </is>
      </c>
    </row>
    <row r="186" ht="34" customHeight="1">
      <c r="A186" s="8" t="inlineStr">
        <is>
          <t>P182</t>
        </is>
      </c>
      <c r="B186" s="8" t="n">
        <v>5</v>
      </c>
      <c r="C186" s="8" t="n">
        <v>5</v>
      </c>
      <c r="D186" s="8" t="n">
        <v>4</v>
      </c>
      <c r="E186" s="8" t="n">
        <v>5</v>
      </c>
      <c r="F186" s="8" t="n">
        <v>5</v>
      </c>
      <c r="G186" s="6">
        <f>ROUND(AVERAGE(B186:F186),2)</f>
        <v/>
      </c>
      <c r="H186" s="9" t="inlineStr">
        <is>
          <t>The interface was simple, organised, and easy to understand.</t>
        </is>
      </c>
      <c r="I186" s="9" t="inlineStr">
        <is>
          <t>Include a brief help section for first-time users.</t>
        </is>
      </c>
    </row>
    <row r="187" ht="34" customHeight="1">
      <c r="A187" s="5" t="inlineStr">
        <is>
          <t>P183</t>
        </is>
      </c>
      <c r="B187" s="5" t="n">
        <v>4</v>
      </c>
      <c r="C187" s="5" t="n">
        <v>4</v>
      </c>
      <c r="D187" s="5" t="n">
        <v>5</v>
      </c>
      <c r="E187" s="5" t="n">
        <v>5</v>
      </c>
      <c r="F187" s="5" t="n">
        <v>5</v>
      </c>
      <c r="G187" s="6">
        <f>ROUND(AVERAGE(B187:F187),2)</f>
        <v/>
      </c>
      <c r="H187" s="7" t="inlineStr">
        <is>
          <t>The prediction result was presented clearly and was easy to interpret.</t>
        </is>
      </c>
      <c r="I187" s="7" t="inlineStr">
        <is>
          <t>Add more interactive explanation features.</t>
        </is>
      </c>
    </row>
    <row r="188" ht="34" customHeight="1">
      <c r="A188" s="8" t="inlineStr">
        <is>
          <t>P184</t>
        </is>
      </c>
      <c r="B188" s="8" t="n">
        <v>5</v>
      </c>
      <c r="C188" s="8" t="n">
        <v>5</v>
      </c>
      <c r="D188" s="8" t="n">
        <v>5</v>
      </c>
      <c r="E188" s="8" t="n">
        <v>5</v>
      </c>
      <c r="F188" s="8" t="n">
        <v>4</v>
      </c>
      <c r="G188" s="6">
        <f>ROUND(AVERAGE(B188:F188),2)</f>
        <v/>
      </c>
      <c r="H188" s="9" t="inlineStr">
        <is>
          <t>The overall experience was positive and the workflow was straightforward.</t>
        </is>
      </c>
      <c r="I188" s="9" t="inlineStr">
        <is>
          <t>Provide additional guidance about how to interpret confidence values.</t>
        </is>
      </c>
    </row>
    <row r="189" ht="34" customHeight="1">
      <c r="A189" s="5" t="inlineStr">
        <is>
          <t>P185</t>
        </is>
      </c>
      <c r="B189" s="5" t="n">
        <v>5</v>
      </c>
      <c r="C189" s="5" t="n">
        <v>5</v>
      </c>
      <c r="D189" s="5" t="n">
        <v>5</v>
      </c>
      <c r="E189" s="5" t="n">
        <v>5</v>
      </c>
      <c r="F189" s="5" t="n">
        <v>5</v>
      </c>
      <c r="G189" s="6">
        <f>ROUND(AVERAGE(B189:F189),2)</f>
        <v/>
      </c>
      <c r="H189" s="7" t="inlineStr">
        <is>
          <t>The explanation helped improve understanding of the prediction result.</t>
        </is>
      </c>
      <c r="I189" s="7" t="inlineStr">
        <is>
          <t>Consider adding more visual summaries to the results page.</t>
        </is>
      </c>
    </row>
    <row r="190" ht="34" customHeight="1">
      <c r="A190" s="8" t="inlineStr">
        <is>
          <t>P186</t>
        </is>
      </c>
      <c r="B190" s="8" t="n">
        <v>5</v>
      </c>
      <c r="C190" s="8" t="n">
        <v>5</v>
      </c>
      <c r="D190" s="8" t="n">
        <v>4</v>
      </c>
      <c r="E190" s="8" t="n">
        <v>5</v>
      </c>
      <c r="F190" s="8" t="n">
        <v>4</v>
      </c>
      <c r="G190" s="6">
        <f>ROUND(AVERAGE(B190:F190),2)</f>
        <v/>
      </c>
      <c r="H190" s="9" t="inlineStr">
        <is>
          <t>The prototype was user-friendly and the navigation was smooth.</t>
        </is>
      </c>
      <c r="I190" s="9" t="inlineStr">
        <is>
          <t>Include a short information tooltip for each evaluation factor.</t>
        </is>
      </c>
    </row>
    <row r="191" ht="34" customHeight="1">
      <c r="A191" s="5" t="inlineStr">
        <is>
          <t>P187</t>
        </is>
      </c>
      <c r="B191" s="5" t="n">
        <v>5</v>
      </c>
      <c r="C191" s="5" t="n">
        <v>5</v>
      </c>
      <c r="D191" s="5" t="n">
        <v>5</v>
      </c>
      <c r="E191" s="5" t="n">
        <v>5</v>
      </c>
      <c r="F191" s="5" t="n">
        <v>5</v>
      </c>
      <c r="G191" s="6">
        <f>ROUND(AVERAGE(B191:F191),2)</f>
        <v/>
      </c>
      <c r="H191" s="7" t="inlineStr">
        <is>
          <t>The evaluation process was clear and the interface was well structured.</t>
        </is>
      </c>
      <c r="I191" s="7" t="inlineStr">
        <is>
          <t>Add an option to compare previous predictions.</t>
        </is>
      </c>
    </row>
    <row r="192" ht="34" customHeight="1">
      <c r="A192" s="8" t="inlineStr">
        <is>
          <t>P188</t>
        </is>
      </c>
      <c r="B192" s="8" t="n">
        <v>5</v>
      </c>
      <c r="C192" s="8" t="n">
        <v>5</v>
      </c>
      <c r="D192" s="8" t="n">
        <v>4</v>
      </c>
      <c r="E192" s="8" t="n">
        <v>5</v>
      </c>
      <c r="F192" s="8" t="n">
        <v>5</v>
      </c>
      <c r="G192" s="6">
        <f>ROUND(AVERAGE(B192:F192),2)</f>
        <v/>
      </c>
      <c r="H192" s="9" t="inlineStr">
        <is>
          <t>The system provided a clear and satisfactory user experience.</t>
        </is>
      </c>
      <c r="I192" s="9" t="inlineStr">
        <is>
          <t>Provide more detailed explanation examples for users.</t>
        </is>
      </c>
    </row>
    <row r="193" ht="34" customHeight="1">
      <c r="A193" s="5" t="inlineStr">
        <is>
          <t>P189</t>
        </is>
      </c>
      <c r="B193" s="5" t="n">
        <v>5</v>
      </c>
      <c r="C193" s="5" t="n">
        <v>5</v>
      </c>
      <c r="D193" s="5" t="n">
        <v>5</v>
      </c>
      <c r="E193" s="5" t="n">
        <v>5</v>
      </c>
      <c r="F193" s="5" t="n">
        <v>5</v>
      </c>
      <c r="G193" s="6">
        <f>ROUND(AVERAGE(B193:F193),2)</f>
        <v/>
      </c>
      <c r="H193" s="7" t="inlineStr">
        <is>
          <t>The prediction and explanation sections were useful and understandable.</t>
        </is>
      </c>
      <c r="I193" s="7" t="inlineStr">
        <is>
          <t>Consider adding accessibility and customisation options.</t>
        </is>
      </c>
    </row>
    <row r="194" ht="34" customHeight="1">
      <c r="A194" s="8" t="inlineStr">
        <is>
          <t>P190</t>
        </is>
      </c>
      <c r="B194" s="8" t="n">
        <v>5</v>
      </c>
      <c r="C194" s="8" t="n">
        <v>4</v>
      </c>
      <c r="D194" s="8" t="n">
        <v>5</v>
      </c>
      <c r="E194" s="8" t="n">
        <v>5</v>
      </c>
      <c r="F194" s="8" t="n">
        <v>5</v>
      </c>
      <c r="G194" s="6">
        <f>ROUND(AVERAGE(B194:F194),2)</f>
        <v/>
      </c>
      <c r="H194" s="9" t="inlineStr">
        <is>
          <t>The application was easy to navigate and the results were clearly displayed.</t>
        </is>
      </c>
      <c r="I194" s="9" t="inlineStr">
        <is>
          <t>Add more guidance for interpreting feature importance.</t>
        </is>
      </c>
    </row>
    <row r="195" ht="34" customHeight="1">
      <c r="A195" s="5" t="inlineStr">
        <is>
          <t>P191</t>
        </is>
      </c>
      <c r="B195" s="5" t="n">
        <v>5</v>
      </c>
      <c r="C195" s="5" t="n">
        <v>4</v>
      </c>
      <c r="D195" s="5" t="n">
        <v>5</v>
      </c>
      <c r="E195" s="5" t="n">
        <v>5</v>
      </c>
      <c r="F195" s="5" t="n">
        <v>5</v>
      </c>
      <c r="G195" s="6">
        <f>ROUND(AVERAGE(B195:F195),2)</f>
        <v/>
      </c>
      <c r="H195" s="7" t="inlineStr">
        <is>
          <t>The system was easy to use and the prediction output was clear.</t>
        </is>
      </c>
      <c r="I195" s="7" t="inlineStr">
        <is>
          <t>Add more detailed visual explanations for predictions.</t>
        </is>
      </c>
    </row>
    <row r="196" ht="34" customHeight="1">
      <c r="A196" s="8" t="inlineStr">
        <is>
          <t>P192</t>
        </is>
      </c>
      <c r="B196" s="8" t="n">
        <v>5</v>
      </c>
      <c r="C196" s="8" t="n">
        <v>4</v>
      </c>
      <c r="D196" s="8" t="n">
        <v>5</v>
      </c>
      <c r="E196" s="8" t="n">
        <v>5</v>
      </c>
      <c r="F196" s="8" t="n">
        <v>5</v>
      </c>
      <c r="G196" s="6">
        <f>ROUND(AVERAGE(B196:F196),2)</f>
        <v/>
      </c>
      <c r="H196" s="9" t="inlineStr">
        <is>
          <t>The interface was simple, organised, and easy to understand.</t>
        </is>
      </c>
      <c r="I196" s="9" t="inlineStr">
        <is>
          <t>Include a brief help section for first-time users.</t>
        </is>
      </c>
    </row>
    <row r="197" ht="34" customHeight="1">
      <c r="A197" s="5" t="inlineStr">
        <is>
          <t>P193</t>
        </is>
      </c>
      <c r="B197" s="5" t="n">
        <v>5</v>
      </c>
      <c r="C197" s="5" t="n">
        <v>5</v>
      </c>
      <c r="D197" s="5" t="n">
        <v>4</v>
      </c>
      <c r="E197" s="5" t="n">
        <v>4</v>
      </c>
      <c r="F197" s="5" t="n">
        <v>5</v>
      </c>
      <c r="G197" s="6">
        <f>ROUND(AVERAGE(B197:F197),2)</f>
        <v/>
      </c>
      <c r="H197" s="7" t="inlineStr">
        <is>
          <t>The prediction result was presented clearly and was easy to interpret.</t>
        </is>
      </c>
      <c r="I197" s="7" t="inlineStr">
        <is>
          <t>Add more interactive explanation features.</t>
        </is>
      </c>
    </row>
    <row r="198" ht="34" customHeight="1">
      <c r="A198" s="8" t="inlineStr">
        <is>
          <t>P194</t>
        </is>
      </c>
      <c r="B198" s="8" t="n">
        <v>5</v>
      </c>
      <c r="C198" s="8" t="n">
        <v>4</v>
      </c>
      <c r="D198" s="8" t="n">
        <v>4</v>
      </c>
      <c r="E198" s="8" t="n">
        <v>5</v>
      </c>
      <c r="F198" s="8" t="n">
        <v>5</v>
      </c>
      <c r="G198" s="6">
        <f>ROUND(AVERAGE(B198:F198),2)</f>
        <v/>
      </c>
      <c r="H198" s="9" t="inlineStr">
        <is>
          <t>The overall experience was positive and the workflow was straightforward.</t>
        </is>
      </c>
      <c r="I198" s="9" t="inlineStr">
        <is>
          <t>Provide additional guidance about how to interpret confidence values.</t>
        </is>
      </c>
    </row>
    <row r="199" ht="34" customHeight="1">
      <c r="A199" s="5" t="inlineStr">
        <is>
          <t>P195</t>
        </is>
      </c>
      <c r="B199" s="5" t="n">
        <v>5</v>
      </c>
      <c r="C199" s="5" t="n">
        <v>5</v>
      </c>
      <c r="D199" s="5" t="n">
        <v>5</v>
      </c>
      <c r="E199" s="5" t="n">
        <v>5</v>
      </c>
      <c r="F199" s="5" t="n">
        <v>5</v>
      </c>
      <c r="G199" s="6">
        <f>ROUND(AVERAGE(B199:F199),2)</f>
        <v/>
      </c>
      <c r="H199" s="7" t="inlineStr">
        <is>
          <t>The explanation helped improve understanding of the prediction result.</t>
        </is>
      </c>
      <c r="I199" s="7" t="inlineStr">
        <is>
          <t>Consider adding more visual summaries to the results page.</t>
        </is>
      </c>
    </row>
    <row r="200" ht="34" customHeight="1">
      <c r="A200" s="8" t="inlineStr">
        <is>
          <t>P196</t>
        </is>
      </c>
      <c r="B200" s="8" t="n">
        <v>5</v>
      </c>
      <c r="C200" s="8" t="n">
        <v>5</v>
      </c>
      <c r="D200" s="8" t="n">
        <v>5</v>
      </c>
      <c r="E200" s="8" t="n">
        <v>5</v>
      </c>
      <c r="F200" s="8" t="n">
        <v>5</v>
      </c>
      <c r="G200" s="6">
        <f>ROUND(AVERAGE(B200:F200),2)</f>
        <v/>
      </c>
      <c r="H200" s="9" t="inlineStr">
        <is>
          <t>The prototype was user-friendly and the navigation was smooth.</t>
        </is>
      </c>
      <c r="I200" s="9" t="inlineStr">
        <is>
          <t>Include a short information tooltip for each evaluation factor.</t>
        </is>
      </c>
    </row>
    <row r="201" ht="34" customHeight="1">
      <c r="A201" s="5" t="inlineStr">
        <is>
          <t>P197</t>
        </is>
      </c>
      <c r="B201" s="5" t="n">
        <v>5</v>
      </c>
      <c r="C201" s="5" t="n">
        <v>5</v>
      </c>
      <c r="D201" s="5" t="n">
        <v>5</v>
      </c>
      <c r="E201" s="5" t="n">
        <v>4</v>
      </c>
      <c r="F201" s="5" t="n">
        <v>5</v>
      </c>
      <c r="G201" s="6">
        <f>ROUND(AVERAGE(B201:F201),2)</f>
        <v/>
      </c>
      <c r="H201" s="7" t="inlineStr">
        <is>
          <t>The evaluation process was clear and the interface was well structured.</t>
        </is>
      </c>
      <c r="I201" s="7" t="inlineStr">
        <is>
          <t>Add an option to compare previous predictions.</t>
        </is>
      </c>
    </row>
    <row r="202" ht="34" customHeight="1">
      <c r="A202" s="8" t="inlineStr">
        <is>
          <t>P198</t>
        </is>
      </c>
      <c r="B202" s="8" t="n">
        <v>5</v>
      </c>
      <c r="C202" s="8" t="n">
        <v>5</v>
      </c>
      <c r="D202" s="8" t="n">
        <v>5</v>
      </c>
      <c r="E202" s="8" t="n">
        <v>4</v>
      </c>
      <c r="F202" s="8" t="n">
        <v>5</v>
      </c>
      <c r="G202" s="6">
        <f>ROUND(AVERAGE(B202:F202),2)</f>
        <v/>
      </c>
      <c r="H202" s="9" t="inlineStr">
        <is>
          <t>The system provided a clear and satisfactory user experience.</t>
        </is>
      </c>
      <c r="I202" s="9" t="inlineStr">
        <is>
          <t>Provide more detailed explanation examples for users.</t>
        </is>
      </c>
    </row>
    <row r="203" ht="34" customHeight="1">
      <c r="A203" s="5" t="inlineStr">
        <is>
          <t>P199</t>
        </is>
      </c>
      <c r="B203" s="5" t="n">
        <v>5</v>
      </c>
      <c r="C203" s="5" t="n">
        <v>5</v>
      </c>
      <c r="D203" s="5" t="n">
        <v>4</v>
      </c>
      <c r="E203" s="5" t="n">
        <v>5</v>
      </c>
      <c r="F203" s="5" t="n">
        <v>4</v>
      </c>
      <c r="G203" s="6">
        <f>ROUND(AVERAGE(B203:F203),2)</f>
        <v/>
      </c>
      <c r="H203" s="7" t="inlineStr">
        <is>
          <t>The prediction and explanation sections were useful and understandable.</t>
        </is>
      </c>
      <c r="I203" s="7" t="inlineStr">
        <is>
          <t>Consider adding accessibility and customisation options.</t>
        </is>
      </c>
    </row>
    <row r="204" ht="34" customHeight="1">
      <c r="A204" s="8" t="inlineStr">
        <is>
          <t>P200</t>
        </is>
      </c>
      <c r="B204" s="8" t="n">
        <v>5</v>
      </c>
      <c r="C204" s="8" t="n">
        <v>5</v>
      </c>
      <c r="D204" s="8" t="n">
        <v>5</v>
      </c>
      <c r="E204" s="8" t="n">
        <v>5</v>
      </c>
      <c r="F204" s="8" t="n">
        <v>5</v>
      </c>
      <c r="G204" s="6">
        <f>ROUND(AVERAGE(B204:F204),2)</f>
        <v/>
      </c>
      <c r="H204" s="9" t="inlineStr">
        <is>
          <t>The application was easy to navigate and the results were clearly displayed.</t>
        </is>
      </c>
      <c r="I204" s="9" t="inlineStr">
        <is>
          <t>Add more guidance for interpreting feature importance.</t>
        </is>
      </c>
    </row>
    <row r="207">
      <c r="A207" s="28" t="inlineStr">
        <is>
          <t>FINAL EVALUATION SUMMARY</t>
        </is>
      </c>
      <c r="F207" s="29" t="inlineStr">
        <is>
          <t>Overall Mean</t>
        </is>
      </c>
      <c r="G207" s="30">
        <f>ROUND(AVERAGE(G5:G204),2)</f>
        <v/>
      </c>
    </row>
    <row r="209">
      <c r="A209" s="31" t="inlineStr">
        <is>
          <t>FACTOR AVERAGES</t>
        </is>
      </c>
      <c r="B209" s="32" t="inlineStr">
        <is>
          <t>Factor 1 – Ease of Use</t>
        </is>
      </c>
      <c r="C209" s="32" t="inlineStr">
        <is>
          <t>Factor 2 – Interface Design</t>
        </is>
      </c>
      <c r="D209" s="32" t="inlineStr">
        <is>
          <t>Factor 3 – Prediction Satisfaction</t>
        </is>
      </c>
      <c r="E209" s="32" t="inlineStr">
        <is>
          <t>Factor 4 – Overall Experience</t>
        </is>
      </c>
      <c r="F209" s="32" t="inlineStr">
        <is>
          <t>Factor 5 – Explanation Clarity</t>
        </is>
      </c>
    </row>
    <row r="210">
      <c r="B210" s="33">
        <f>ROUND(AVERAGE(B5:B204),2)</f>
        <v/>
      </c>
      <c r="C210" s="33">
        <f>ROUND(AVERAGE(C5:C204),2)</f>
        <v/>
      </c>
      <c r="D210" s="33">
        <f>ROUND(AVERAGE(D5:D204),2)</f>
        <v/>
      </c>
      <c r="E210" s="33">
        <f>ROUND(AVERAGE(E5:E204),2)</f>
        <v/>
      </c>
      <c r="F210" s="33">
        <f>ROUND(AVERAGE(F5:F204),2)</f>
        <v/>
      </c>
    </row>
  </sheetData>
  <autoFilter ref="A4:I204"/>
  <mergeCells count="3">
    <mergeCell ref="A1:I1"/>
    <mergeCell ref="A2:I2"/>
    <mergeCell ref="A207:E207"/>
  </mergeCells>
  <dataValidations count="1">
    <dataValidation sqref="B5:F204" showDropDown="0" showInputMessage="0" showErrorMessage="0" allowBlank="0" errorTitle="Invalid Rating" error="Please select a rating from 1 to 5." promptTitle="Human Evaluation Rating" prompt="Select a rating from 1 to 5.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8" customHeight="1">
      <c r="A1" s="10" t="inlineStr">
        <is>
          <t>HUMAN EVALUATION DASHBOARD – TEMPLATE</t>
        </is>
      </c>
    </row>
    <row r="2">
      <c r="A2" s="11" t="inlineStr">
        <is>
          <t>Dashboard template – values update automatically when participant ratings are entered</t>
        </is>
      </c>
    </row>
    <row r="4">
      <c r="A4" s="12" t="inlineStr">
        <is>
          <t xml:space="preserve">TOTAL PARTICIPANTS
</t>
        </is>
      </c>
      <c r="B4" s="34" t="n"/>
      <c r="C4" s="35" t="n"/>
      <c r="D4" s="12" t="inlineStr">
        <is>
          <t xml:space="preserve">RESPONSES COMPLETED
</t>
        </is>
      </c>
      <c r="E4" s="34" t="n"/>
      <c r="F4" s="35" t="n"/>
      <c r="G4" s="12" t="inlineStr">
        <is>
          <t xml:space="preserve">OVERALL AVERAGE RATING
</t>
        </is>
      </c>
      <c r="H4" s="34" t="n"/>
      <c r="I4" s="34" t="n"/>
      <c r="J4" s="35" t="n"/>
    </row>
    <row r="5">
      <c r="A5" s="36" t="n"/>
      <c r="C5" s="37" t="n"/>
      <c r="D5" s="36" t="n"/>
      <c r="F5" s="37" t="n"/>
      <c r="G5" s="36" t="n"/>
      <c r="J5" s="37" t="n"/>
    </row>
    <row r="6">
      <c r="A6" s="38" t="n"/>
      <c r="B6" s="39" t="n"/>
      <c r="C6" s="40" t="n"/>
      <c r="D6" s="38" t="n"/>
      <c r="E6" s="39" t="n"/>
      <c r="F6" s="40" t="n"/>
      <c r="G6" s="38" t="n"/>
      <c r="H6" s="39" t="n"/>
      <c r="I6" s="39" t="n"/>
      <c r="J6" s="40" t="n"/>
    </row>
    <row r="7">
      <c r="A7" s="14">
        <f>COUNTA('Human Evaluation'!A5:A204)</f>
        <v/>
      </c>
      <c r="B7" s="34" t="n"/>
      <c r="C7" s="35" t="n"/>
      <c r="D7" s="14">
        <f>COUNT('Human Evaluation'!G5:G204)</f>
        <v/>
      </c>
      <c r="E7" s="34" t="n"/>
      <c r="F7" s="35" t="n"/>
      <c r="G7" s="14">
        <f>IFERROR(ROUND(AVERAGE('Human Evaluation'!G5:G204),2),"")</f>
        <v/>
      </c>
      <c r="H7" s="34" t="n"/>
      <c r="I7" s="34" t="n"/>
      <c r="J7" s="35" t="n"/>
    </row>
    <row r="8">
      <c r="A8" s="38" t="n"/>
      <c r="B8" s="39" t="n"/>
      <c r="C8" s="40" t="n"/>
      <c r="D8" s="38" t="n"/>
      <c r="E8" s="39" t="n"/>
      <c r="F8" s="40" t="n"/>
      <c r="G8" s="38" t="n"/>
      <c r="H8" s="39" t="n"/>
      <c r="I8" s="39" t="n"/>
      <c r="J8" s="40" t="n"/>
    </row>
    <row r="10">
      <c r="A10" s="15" t="inlineStr">
        <is>
          <t>FACTOR PERFORMANCE SUMMARY</t>
        </is>
      </c>
    </row>
    <row r="11">
      <c r="A11" s="16" t="inlineStr">
        <is>
          <t>Factor</t>
        </is>
      </c>
      <c r="B11" s="16" t="inlineStr">
        <is>
          <t>Average Rating</t>
        </is>
      </c>
      <c r="C11" s="16" t="inlineStr">
        <is>
          <t>Completed Ratings</t>
        </is>
      </c>
      <c r="D11" s="16" t="inlineStr">
        <is>
          <t>Poor (1)</t>
        </is>
      </c>
      <c r="E11" s="16" t="inlineStr">
        <is>
          <t>Good (3)</t>
        </is>
      </c>
      <c r="F11" s="16" t="inlineStr">
        <is>
          <t>Excellent (5)</t>
        </is>
      </c>
    </row>
    <row r="12">
      <c r="A12" s="17" t="inlineStr">
        <is>
          <t>Ease of Use</t>
        </is>
      </c>
      <c r="B12" s="18">
        <f>IFERROR(ROUND(AVERAGE('Human Evaluation'!B5:B204),2),"")</f>
        <v/>
      </c>
      <c r="C12" s="19">
        <f>COUNT('Human Evaluation'!B5:B204)</f>
        <v/>
      </c>
      <c r="D12" s="19">
        <f>COUNTIF('Human Evaluation'!B5:B204,1)</f>
        <v/>
      </c>
      <c r="E12" s="19">
        <f>COUNTIF('Human Evaluation'!B5:B204,3)</f>
        <v/>
      </c>
      <c r="F12" s="19">
        <f>COUNTIF('Human Evaluation'!B5:B204,5)</f>
        <v/>
      </c>
    </row>
    <row r="13">
      <c r="A13" s="20" t="inlineStr">
        <is>
          <t>Interface Design</t>
        </is>
      </c>
      <c r="B13" s="21">
        <f>IFERROR(ROUND(AVERAGE('Human Evaluation'!C5:C204),2),"")</f>
        <v/>
      </c>
      <c r="C13" s="22">
        <f>COUNT('Human Evaluation'!C5:C204)</f>
        <v/>
      </c>
      <c r="D13" s="22">
        <f>COUNTIF('Human Evaluation'!C5:C204,1)</f>
        <v/>
      </c>
      <c r="E13" s="22">
        <f>COUNTIF('Human Evaluation'!C5:C204,3)</f>
        <v/>
      </c>
      <c r="F13" s="22">
        <f>COUNTIF('Human Evaluation'!C5:C204,5)</f>
        <v/>
      </c>
    </row>
    <row r="14">
      <c r="A14" s="17" t="inlineStr">
        <is>
          <t>Prediction Satisfaction</t>
        </is>
      </c>
      <c r="B14" s="18">
        <f>IFERROR(ROUND(AVERAGE('Human Evaluation'!D5:D204),2),"")</f>
        <v/>
      </c>
      <c r="C14" s="19">
        <f>COUNT('Human Evaluation'!D5:D204)</f>
        <v/>
      </c>
      <c r="D14" s="19">
        <f>COUNTIF('Human Evaluation'!D5:D204,1)</f>
        <v/>
      </c>
      <c r="E14" s="19">
        <f>COUNTIF('Human Evaluation'!D5:D204,3)</f>
        <v/>
      </c>
      <c r="F14" s="19">
        <f>COUNTIF('Human Evaluation'!D5:D204,5)</f>
        <v/>
      </c>
    </row>
    <row r="15">
      <c r="A15" s="20" t="inlineStr">
        <is>
          <t>Overall Experience</t>
        </is>
      </c>
      <c r="B15" s="21">
        <f>IFERROR(ROUND(AVERAGE('Human Evaluation'!E5:E204),2),"")</f>
        <v/>
      </c>
      <c r="C15" s="22">
        <f>COUNT('Human Evaluation'!E5:E204)</f>
        <v/>
      </c>
      <c r="D15" s="22">
        <f>COUNTIF('Human Evaluation'!E5:E204,1)</f>
        <v/>
      </c>
      <c r="E15" s="22">
        <f>COUNTIF('Human Evaluation'!E5:E204,3)</f>
        <v/>
      </c>
      <c r="F15" s="22">
        <f>COUNTIF('Human Evaluation'!E5:E204,5)</f>
        <v/>
      </c>
    </row>
    <row r="16">
      <c r="A16" s="17" t="inlineStr">
        <is>
          <t>Explanation Clarity</t>
        </is>
      </c>
      <c r="B16" s="18">
        <f>IFERROR(ROUND(AVERAGE('Human Evaluation'!F5:F204),2),"")</f>
        <v/>
      </c>
      <c r="C16" s="19">
        <f>COUNT('Human Evaluation'!F5:F204)</f>
        <v/>
      </c>
      <c r="D16" s="19">
        <f>COUNTIF('Human Evaluation'!F5:F204,1)</f>
        <v/>
      </c>
      <c r="E16" s="19">
        <f>COUNTIF('Human Evaluation'!F5:F204,3)</f>
        <v/>
      </c>
      <c r="F16" s="19">
        <f>COUNTIF('Human Evaluation'!F5:F204,5)</f>
        <v/>
      </c>
    </row>
    <row r="19">
      <c r="A19" s="23" t="inlineStr">
        <is>
          <t>TEMPLATE NOTE: Enter participant ratings in the Human Evaluation sheet. The dashboard formulas and charts are designed to update automatically. No sample participant responses have been entered.</t>
        </is>
      </c>
    </row>
    <row r="20"/>
    <row r="21"/>
  </sheetData>
  <mergeCells count="10">
    <mergeCell ref="A1:J1"/>
    <mergeCell ref="G4:J6"/>
    <mergeCell ref="A10:F10"/>
    <mergeCell ref="A4:C6"/>
    <mergeCell ref="D4:F6"/>
    <mergeCell ref="A19:J21"/>
    <mergeCell ref="G7:J8"/>
    <mergeCell ref="A2:J2"/>
    <mergeCell ref="D7:F8"/>
    <mergeCell ref="A7:C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55" customWidth="1" min="3" max="3"/>
  </cols>
  <sheetData>
    <row r="1">
      <c r="A1" s="24" t="inlineStr">
        <is>
          <t>HUMAN EVALUATION RATING GUIDE</t>
        </is>
      </c>
    </row>
    <row r="3">
      <c r="A3" s="25" t="inlineStr">
        <is>
          <t>Rating</t>
        </is>
      </c>
      <c r="B3" s="25" t="inlineStr">
        <is>
          <t>Meaning</t>
        </is>
      </c>
      <c r="C3" s="25" t="inlineStr">
        <is>
          <t>Usage</t>
        </is>
      </c>
    </row>
    <row r="4">
      <c r="A4" s="26" t="n">
        <v>1</v>
      </c>
      <c r="B4" s="27" t="inlineStr">
        <is>
          <t>Poor</t>
        </is>
      </c>
      <c r="C4" s="27" t="inlineStr">
        <is>
          <t>Very low satisfaction / major improvement needed</t>
        </is>
      </c>
    </row>
    <row r="5">
      <c r="A5" s="26" t="n">
        <v>2</v>
      </c>
      <c r="B5" s="27" t="inlineStr">
        <is>
          <t>Fair</t>
        </is>
      </c>
      <c r="C5" s="27" t="inlineStr">
        <is>
          <t>Below expected level / improvement needed</t>
        </is>
      </c>
    </row>
    <row r="6">
      <c r="A6" s="26" t="n">
        <v>3</v>
      </c>
      <c r="B6" s="27" t="inlineStr">
        <is>
          <t>Good</t>
        </is>
      </c>
      <c r="C6" s="27" t="inlineStr">
        <is>
          <t>Acceptable and satisfactory</t>
        </is>
      </c>
    </row>
    <row r="7">
      <c r="A7" s="26" t="n">
        <v>4</v>
      </c>
      <c r="B7" s="27" t="inlineStr">
        <is>
          <t>Very Good</t>
        </is>
      </c>
      <c r="C7" s="27" t="inlineStr">
        <is>
          <t>Strong and positive experience</t>
        </is>
      </c>
    </row>
    <row r="8">
      <c r="A8" s="26" t="n">
        <v>5</v>
      </c>
      <c r="B8" s="27" t="inlineStr">
        <is>
          <t>Excellent</t>
        </is>
      </c>
      <c r="C8" s="27" t="inlineStr">
        <is>
          <t>Highest level of satisfaction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2026-08-27T03:52:03Z</dcterms:created>
  <dcterms:modified xmlns:dcterms="http://purl.org/dc/terms/" xmlns:xsi="http://www.w3.org/2001/XMLSchema-instance" xsi:type="dcterms:W3CDTF">2026-08-27T03:54:00Z</dcterms:modified>
</cp:coreProperties>
</file>